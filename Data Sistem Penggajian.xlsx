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ndidikan\Kuliah\Semester 4\Basis Data\"/>
    </mc:Choice>
  </mc:AlternateContent>
  <xr:revisionPtr revIDLastSave="0" documentId="13_ncr:1_{DE6B2187-2B5B-4E8E-9575-C19EA0AB1D41}" xr6:coauthVersionLast="47" xr6:coauthVersionMax="47" xr10:uidLastSave="{00000000-0000-0000-0000-000000000000}"/>
  <bookViews>
    <workbookView xWindow="-120" yWindow="-120" windowWidth="20730" windowHeight="11040" activeTab="3" xr2:uid="{CE661DE2-1D4F-4072-BDBF-0FC373AFEF60}"/>
  </bookViews>
  <sheets>
    <sheet name="UNF" sheetId="1" r:id="rId1"/>
    <sheet name="1NF" sheetId="2" r:id="rId2"/>
    <sheet name="2NF" sheetId="4" r:id="rId3"/>
    <sheet name=" 3NF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O3" i="2" l="1"/>
  <c r="AN3" i="2"/>
  <c r="AM3" i="2"/>
  <c r="AL3" i="2"/>
  <c r="AK3" i="2"/>
  <c r="AJ3" i="2"/>
  <c r="F104" i="3"/>
  <c r="F103" i="3"/>
  <c r="F102" i="3"/>
  <c r="F101" i="3"/>
  <c r="E101" i="3"/>
  <c r="F100" i="3"/>
  <c r="E100" i="3"/>
  <c r="F99" i="3"/>
  <c r="F98" i="3"/>
  <c r="F97" i="3"/>
  <c r="F96" i="3"/>
  <c r="F95" i="3"/>
  <c r="F94" i="3"/>
  <c r="E94" i="3"/>
  <c r="F93" i="3"/>
  <c r="E93" i="3"/>
  <c r="F92" i="3"/>
  <c r="F91" i="3"/>
  <c r="F90" i="3"/>
  <c r="F89" i="3"/>
  <c r="F88" i="3"/>
  <c r="F87" i="3"/>
  <c r="E87" i="3"/>
  <c r="F86" i="3"/>
  <c r="E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BB39" i="4"/>
  <c r="AO39" i="4"/>
  <c r="AN39" i="4"/>
  <c r="AM39" i="4"/>
  <c r="AL39" i="4"/>
  <c r="AK39" i="4"/>
  <c r="AJ39" i="4"/>
  <c r="BB38" i="4"/>
  <c r="AO38" i="4"/>
  <c r="AN38" i="4"/>
  <c r="AM38" i="4"/>
  <c r="AL38" i="4"/>
  <c r="AK38" i="4"/>
  <c r="AJ38" i="4"/>
  <c r="BB37" i="4"/>
  <c r="AO37" i="4"/>
  <c r="AN37" i="4"/>
  <c r="AM37" i="4"/>
  <c r="AL37" i="4"/>
  <c r="AK37" i="4"/>
  <c r="AJ37" i="4"/>
  <c r="BB36" i="4"/>
  <c r="AO36" i="4"/>
  <c r="AN36" i="4"/>
  <c r="AM36" i="4"/>
  <c r="AL36" i="4"/>
  <c r="AK36" i="4"/>
  <c r="AJ36" i="4"/>
  <c r="BB35" i="4"/>
  <c r="BA35" i="4"/>
  <c r="AO35" i="4"/>
  <c r="AN35" i="4"/>
  <c r="AM35" i="4"/>
  <c r="AL35" i="4"/>
  <c r="AK35" i="4"/>
  <c r="AJ35" i="4"/>
  <c r="BB34" i="4"/>
  <c r="BA34" i="4"/>
  <c r="AO34" i="4"/>
  <c r="AN34" i="4"/>
  <c r="AM34" i="4"/>
  <c r="AL34" i="4"/>
  <c r="AK34" i="4"/>
  <c r="AJ34" i="4"/>
  <c r="BB33" i="4"/>
  <c r="AO33" i="4"/>
  <c r="AN33" i="4"/>
  <c r="AM33" i="4"/>
  <c r="AL33" i="4"/>
  <c r="AK33" i="4"/>
  <c r="AJ33" i="4"/>
  <c r="BB32" i="4"/>
  <c r="AO32" i="4"/>
  <c r="AN32" i="4"/>
  <c r="AM32" i="4"/>
  <c r="AL32" i="4"/>
  <c r="AK32" i="4"/>
  <c r="AJ32" i="4"/>
  <c r="BB31" i="4"/>
  <c r="AO31" i="4"/>
  <c r="AN31" i="4"/>
  <c r="AM31" i="4"/>
  <c r="AL31" i="4"/>
  <c r="AK31" i="4"/>
  <c r="AJ31" i="4"/>
  <c r="BB30" i="4"/>
  <c r="AO30" i="4"/>
  <c r="AN30" i="4"/>
  <c r="AM30" i="4"/>
  <c r="AL30" i="4"/>
  <c r="AK30" i="4"/>
  <c r="AJ30" i="4"/>
  <c r="BB29" i="4"/>
  <c r="AO29" i="4"/>
  <c r="AN29" i="4"/>
  <c r="AM29" i="4"/>
  <c r="AL29" i="4"/>
  <c r="AK29" i="4"/>
  <c r="AJ29" i="4"/>
  <c r="BB28" i="4"/>
  <c r="BA28" i="4"/>
  <c r="AO28" i="4"/>
  <c r="AN28" i="4"/>
  <c r="AM28" i="4"/>
  <c r="AL28" i="4"/>
  <c r="AK28" i="4"/>
  <c r="AJ28" i="4"/>
  <c r="BB27" i="4"/>
  <c r="BA27" i="4"/>
  <c r="AO27" i="4"/>
  <c r="AN27" i="4"/>
  <c r="AM27" i="4"/>
  <c r="AL27" i="4"/>
  <c r="AK27" i="4"/>
  <c r="AJ27" i="4"/>
  <c r="BB26" i="4"/>
  <c r="AO26" i="4"/>
  <c r="AN26" i="4"/>
  <c r="AM26" i="4"/>
  <c r="AL26" i="4"/>
  <c r="AK26" i="4"/>
  <c r="AJ26" i="4"/>
  <c r="BB25" i="4"/>
  <c r="AO25" i="4"/>
  <c r="AN25" i="4"/>
  <c r="AM25" i="4"/>
  <c r="AL25" i="4"/>
  <c r="AK25" i="4"/>
  <c r="AJ25" i="4"/>
  <c r="BB24" i="4"/>
  <c r="AO24" i="4"/>
  <c r="AN24" i="4"/>
  <c r="AM24" i="4"/>
  <c r="AL24" i="4"/>
  <c r="AK24" i="4"/>
  <c r="AJ24" i="4"/>
  <c r="BB23" i="4"/>
  <c r="AO23" i="4"/>
  <c r="AN23" i="4"/>
  <c r="AM23" i="4"/>
  <c r="AL23" i="4"/>
  <c r="AK23" i="4"/>
  <c r="AJ23" i="4"/>
  <c r="BB22" i="4"/>
  <c r="AO22" i="4"/>
  <c r="AN22" i="4"/>
  <c r="AM22" i="4"/>
  <c r="AL22" i="4"/>
  <c r="AK22" i="4"/>
  <c r="AJ22" i="4"/>
  <c r="BB21" i="4"/>
  <c r="BA21" i="4"/>
  <c r="AO21" i="4"/>
  <c r="AN21" i="4"/>
  <c r="AM21" i="4"/>
  <c r="AL21" i="4"/>
  <c r="AK21" i="4"/>
  <c r="AJ21" i="4"/>
  <c r="BB20" i="4"/>
  <c r="BA20" i="4"/>
  <c r="AO20" i="4"/>
  <c r="AN20" i="4"/>
  <c r="AM20" i="4"/>
  <c r="AL20" i="4"/>
  <c r="AK20" i="4"/>
  <c r="AJ20" i="4"/>
  <c r="BB19" i="4"/>
  <c r="AO19" i="4"/>
  <c r="AN19" i="4"/>
  <c r="AM19" i="4"/>
  <c r="AL19" i="4"/>
  <c r="AK19" i="4"/>
  <c r="AJ19" i="4"/>
  <c r="BB18" i="4"/>
  <c r="AO18" i="4"/>
  <c r="AN18" i="4"/>
  <c r="AM18" i="4"/>
  <c r="AL18" i="4"/>
  <c r="AK18" i="4"/>
  <c r="AJ18" i="4"/>
  <c r="BB17" i="4"/>
  <c r="AO17" i="4"/>
  <c r="AN17" i="4"/>
  <c r="AM17" i="4"/>
  <c r="AL17" i="4"/>
  <c r="AK17" i="4"/>
  <c r="AJ17" i="4"/>
  <c r="BB16" i="4"/>
  <c r="AO16" i="4"/>
  <c r="AN16" i="4"/>
  <c r="AM16" i="4"/>
  <c r="AL16" i="4"/>
  <c r="AK16" i="4"/>
  <c r="AJ16" i="4"/>
  <c r="BB15" i="4"/>
  <c r="AO15" i="4"/>
  <c r="AN15" i="4"/>
  <c r="AM15" i="4"/>
  <c r="AL15" i="4"/>
  <c r="AK15" i="4"/>
  <c r="AJ15" i="4"/>
  <c r="BB14" i="4"/>
  <c r="AO14" i="4"/>
  <c r="AN14" i="4"/>
  <c r="AM14" i="4"/>
  <c r="AL14" i="4"/>
  <c r="AK14" i="4"/>
  <c r="AJ14" i="4"/>
  <c r="BB13" i="4"/>
  <c r="AO13" i="4"/>
  <c r="AN13" i="4"/>
  <c r="AM13" i="4"/>
  <c r="AL13" i="4"/>
  <c r="AK13" i="4"/>
  <c r="AJ13" i="4"/>
  <c r="BB12" i="4"/>
  <c r="AO12" i="4"/>
  <c r="AN12" i="4"/>
  <c r="AM12" i="4"/>
  <c r="AL12" i="4"/>
  <c r="AK12" i="4"/>
  <c r="AJ12" i="4"/>
  <c r="BB11" i="4"/>
  <c r="AO11" i="4"/>
  <c r="AN11" i="4"/>
  <c r="AM11" i="4"/>
  <c r="AL11" i="4"/>
  <c r="AK11" i="4"/>
  <c r="AJ11" i="4"/>
  <c r="BB10" i="4"/>
  <c r="AO10" i="4"/>
  <c r="AN10" i="4"/>
  <c r="AM10" i="4"/>
  <c r="AL10" i="4"/>
  <c r="AK10" i="4"/>
  <c r="AJ10" i="4"/>
  <c r="BB9" i="4"/>
  <c r="AO9" i="4"/>
  <c r="AN9" i="4"/>
  <c r="AM9" i="4"/>
  <c r="AL9" i="4"/>
  <c r="AK9" i="4"/>
  <c r="AJ9" i="4"/>
  <c r="BB8" i="4"/>
  <c r="AO8" i="4"/>
  <c r="AN8" i="4"/>
  <c r="AM8" i="4"/>
  <c r="AL8" i="4"/>
  <c r="AK8" i="4"/>
  <c r="AJ8" i="4"/>
  <c r="BB7" i="4"/>
  <c r="AO7" i="4"/>
  <c r="AN7" i="4"/>
  <c r="AM7" i="4"/>
  <c r="AL7" i="4"/>
  <c r="AK7" i="4"/>
  <c r="AJ7" i="4"/>
  <c r="BB6" i="4"/>
  <c r="AO6" i="4"/>
  <c r="AN6" i="4"/>
  <c r="AM6" i="4"/>
  <c r="AL6" i="4"/>
  <c r="AK6" i="4"/>
  <c r="AJ6" i="4"/>
  <c r="BB5" i="4"/>
  <c r="AO5" i="4"/>
  <c r="AN5" i="4"/>
  <c r="AM5" i="4"/>
  <c r="AL5" i="4"/>
  <c r="AK5" i="4"/>
  <c r="AJ5" i="4"/>
  <c r="BB4" i="4"/>
  <c r="AV4" i="4"/>
  <c r="BB3" i="4"/>
  <c r="AO3" i="4"/>
  <c r="AN3" i="4"/>
  <c r="AM3" i="4"/>
  <c r="AL3" i="4"/>
  <c r="AK3" i="4"/>
  <c r="AJ3" i="4"/>
  <c r="AV3" i="2"/>
  <c r="BA22" i="1"/>
  <c r="BA27" i="2"/>
  <c r="BA26" i="2"/>
  <c r="BB27" i="2"/>
  <c r="AO27" i="2"/>
  <c r="AN27" i="2"/>
  <c r="AM27" i="2"/>
  <c r="AL27" i="2"/>
  <c r="AK27" i="2"/>
  <c r="AJ27" i="2"/>
  <c r="BA34" i="2"/>
  <c r="BA33" i="2"/>
  <c r="BB34" i="2"/>
  <c r="AO34" i="2"/>
  <c r="AN34" i="2"/>
  <c r="AM34" i="2"/>
  <c r="AL34" i="2"/>
  <c r="AK34" i="2"/>
  <c r="AJ34" i="2"/>
  <c r="BA20" i="2"/>
  <c r="BA19" i="2"/>
  <c r="BB20" i="2"/>
  <c r="AO20" i="2"/>
  <c r="AN20" i="2"/>
  <c r="AM20" i="2"/>
  <c r="AL20" i="2"/>
  <c r="AK20" i="2"/>
  <c r="AJ20" i="2"/>
  <c r="BB5" i="2"/>
  <c r="AO5" i="2"/>
  <c r="AN5" i="2"/>
  <c r="AM5" i="2"/>
  <c r="AL5" i="2"/>
  <c r="AK5" i="2"/>
  <c r="AJ5" i="2"/>
  <c r="BB38" i="2"/>
  <c r="AO38" i="2"/>
  <c r="AN38" i="2"/>
  <c r="AM38" i="2"/>
  <c r="AL38" i="2"/>
  <c r="AK38" i="2"/>
  <c r="AJ38" i="2"/>
  <c r="BB18" i="2"/>
  <c r="AO18" i="2"/>
  <c r="AN18" i="2"/>
  <c r="AM18" i="2"/>
  <c r="AL18" i="2"/>
  <c r="AK18" i="2"/>
  <c r="AJ18" i="2"/>
  <c r="BB3" i="2"/>
  <c r="BB37" i="2"/>
  <c r="AO37" i="2"/>
  <c r="AN37" i="2"/>
  <c r="AM37" i="2"/>
  <c r="AL37" i="2"/>
  <c r="AK37" i="2"/>
  <c r="AJ37" i="2"/>
  <c r="BB36" i="2"/>
  <c r="AO36" i="2"/>
  <c r="AN36" i="2"/>
  <c r="AM36" i="2"/>
  <c r="AL36" i="2"/>
  <c r="AK36" i="2"/>
  <c r="AJ36" i="2"/>
  <c r="BB35" i="2"/>
  <c r="AO35" i="2"/>
  <c r="AN35" i="2"/>
  <c r="AM35" i="2"/>
  <c r="AL35" i="2"/>
  <c r="AK35" i="2"/>
  <c r="AJ35" i="2"/>
  <c r="BB33" i="2"/>
  <c r="AO33" i="2"/>
  <c r="AN33" i="2"/>
  <c r="AM33" i="2"/>
  <c r="AL33" i="2"/>
  <c r="AK33" i="2"/>
  <c r="AJ33" i="2"/>
  <c r="BB32" i="2"/>
  <c r="AO32" i="2"/>
  <c r="AN32" i="2"/>
  <c r="AM32" i="2"/>
  <c r="AL32" i="2"/>
  <c r="AK32" i="2"/>
  <c r="AJ32" i="2"/>
  <c r="BB31" i="2"/>
  <c r="AO31" i="2"/>
  <c r="AN31" i="2"/>
  <c r="AM31" i="2"/>
  <c r="AL31" i="2"/>
  <c r="AK31" i="2"/>
  <c r="AJ31" i="2"/>
  <c r="BB30" i="2"/>
  <c r="AO30" i="2"/>
  <c r="AN30" i="2"/>
  <c r="AM30" i="2"/>
  <c r="AL30" i="2"/>
  <c r="AK30" i="2"/>
  <c r="AJ30" i="2"/>
  <c r="BB29" i="2"/>
  <c r="AO29" i="2"/>
  <c r="AN29" i="2"/>
  <c r="AM29" i="2"/>
  <c r="AL29" i="2"/>
  <c r="AK29" i="2"/>
  <c r="AJ29" i="2"/>
  <c r="BB28" i="2"/>
  <c r="AO28" i="2"/>
  <c r="AN28" i="2"/>
  <c r="AM28" i="2"/>
  <c r="AL28" i="2"/>
  <c r="AK28" i="2"/>
  <c r="AJ28" i="2"/>
  <c r="BB26" i="2"/>
  <c r="AO26" i="2"/>
  <c r="AN26" i="2"/>
  <c r="AM26" i="2"/>
  <c r="AL26" i="2"/>
  <c r="AK26" i="2"/>
  <c r="AJ26" i="2"/>
  <c r="BB25" i="2"/>
  <c r="AO25" i="2"/>
  <c r="AN25" i="2"/>
  <c r="AM25" i="2"/>
  <c r="AL25" i="2"/>
  <c r="AK25" i="2"/>
  <c r="AJ25" i="2"/>
  <c r="BB24" i="2"/>
  <c r="AO24" i="2"/>
  <c r="AN24" i="2"/>
  <c r="AM24" i="2"/>
  <c r="AL24" i="2"/>
  <c r="AK24" i="2"/>
  <c r="AJ24" i="2"/>
  <c r="BB23" i="2"/>
  <c r="AO23" i="2"/>
  <c r="AN23" i="2"/>
  <c r="AM23" i="2"/>
  <c r="AL23" i="2"/>
  <c r="AK23" i="2"/>
  <c r="AJ23" i="2"/>
  <c r="BB22" i="2"/>
  <c r="AO22" i="2"/>
  <c r="AN22" i="2"/>
  <c r="AM22" i="2"/>
  <c r="AL22" i="2"/>
  <c r="AK22" i="2"/>
  <c r="AJ22" i="2"/>
  <c r="BB21" i="2"/>
  <c r="AO21" i="2"/>
  <c r="AN21" i="2"/>
  <c r="AM21" i="2"/>
  <c r="AL21" i="2"/>
  <c r="AK21" i="2"/>
  <c r="AJ21" i="2"/>
  <c r="BB19" i="2"/>
  <c r="AO19" i="2"/>
  <c r="AN19" i="2"/>
  <c r="AM19" i="2"/>
  <c r="AL19" i="2"/>
  <c r="AK19" i="2"/>
  <c r="AJ19" i="2"/>
  <c r="BB17" i="2"/>
  <c r="AO17" i="2"/>
  <c r="AN17" i="2"/>
  <c r="AM17" i="2"/>
  <c r="AL17" i="2"/>
  <c r="AK17" i="2"/>
  <c r="AJ17" i="2"/>
  <c r="BB16" i="2"/>
  <c r="AO16" i="2"/>
  <c r="AN16" i="2"/>
  <c r="AM16" i="2"/>
  <c r="AL16" i="2"/>
  <c r="AK16" i="2"/>
  <c r="AJ16" i="2"/>
  <c r="BB15" i="2"/>
  <c r="AO15" i="2"/>
  <c r="AN15" i="2"/>
  <c r="AM15" i="2"/>
  <c r="AL15" i="2"/>
  <c r="AK15" i="2"/>
  <c r="AJ15" i="2"/>
  <c r="BB14" i="2"/>
  <c r="AO14" i="2"/>
  <c r="AN14" i="2"/>
  <c r="AM14" i="2"/>
  <c r="AL14" i="2"/>
  <c r="AK14" i="2"/>
  <c r="AJ14" i="2"/>
  <c r="BB13" i="2"/>
  <c r="AO13" i="2"/>
  <c r="AN13" i="2"/>
  <c r="AM13" i="2"/>
  <c r="AL13" i="2"/>
  <c r="AK13" i="2"/>
  <c r="AJ13" i="2"/>
  <c r="BB12" i="2"/>
  <c r="AO12" i="2"/>
  <c r="AN12" i="2"/>
  <c r="AM12" i="2"/>
  <c r="AL12" i="2"/>
  <c r="AK12" i="2"/>
  <c r="AJ12" i="2"/>
  <c r="BB11" i="2"/>
  <c r="AO11" i="2"/>
  <c r="AN11" i="2"/>
  <c r="AM11" i="2"/>
  <c r="AL11" i="2"/>
  <c r="AK11" i="2"/>
  <c r="AJ11" i="2"/>
  <c r="BB10" i="2"/>
  <c r="AO10" i="2"/>
  <c r="AN10" i="2"/>
  <c r="AM10" i="2"/>
  <c r="AL10" i="2"/>
  <c r="AK10" i="2"/>
  <c r="AJ10" i="2"/>
  <c r="BB9" i="2"/>
  <c r="AO9" i="2"/>
  <c r="AN9" i="2"/>
  <c r="AM9" i="2"/>
  <c r="AL9" i="2"/>
  <c r="AK9" i="2"/>
  <c r="AJ9" i="2"/>
  <c r="BB8" i="2"/>
  <c r="AO8" i="2"/>
  <c r="AN8" i="2"/>
  <c r="AM8" i="2"/>
  <c r="AL8" i="2"/>
  <c r="AK8" i="2"/>
  <c r="AJ8" i="2"/>
  <c r="BB7" i="2"/>
  <c r="AO7" i="2"/>
  <c r="AN7" i="2"/>
  <c r="AM7" i="2"/>
  <c r="AL7" i="2"/>
  <c r="AK7" i="2"/>
  <c r="AJ7" i="2"/>
  <c r="BB6" i="2"/>
  <c r="AO6" i="2"/>
  <c r="AN6" i="2"/>
  <c r="AM6" i="2"/>
  <c r="AL6" i="2"/>
  <c r="AK6" i="2"/>
  <c r="AJ6" i="2"/>
  <c r="BB4" i="2"/>
  <c r="AO4" i="2"/>
  <c r="AN4" i="2"/>
  <c r="AM4" i="2"/>
  <c r="AL4" i="2"/>
  <c r="AK4" i="2"/>
  <c r="AJ4" i="2"/>
  <c r="BB2" i="2"/>
  <c r="AO2" i="2"/>
  <c r="AN2" i="2"/>
  <c r="AM2" i="2"/>
  <c r="AL2" i="2"/>
  <c r="AK2" i="2"/>
  <c r="AJ2" i="2"/>
  <c r="BA28" i="1"/>
  <c r="BA16" i="1"/>
  <c r="BA3" i="1"/>
  <c r="AI31" i="1"/>
  <c r="AI15" i="1"/>
  <c r="AI2" i="1"/>
  <c r="BB2" i="1"/>
  <c r="BB3" i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2" i="1"/>
</calcChain>
</file>

<file path=xl/sharedStrings.xml><?xml version="1.0" encoding="utf-8"?>
<sst xmlns="http://schemas.openxmlformats.org/spreadsheetml/2006/main" count="6286" uniqueCount="674">
  <si>
    <t>id_karyawan</t>
  </si>
  <si>
    <t>nik</t>
  </si>
  <si>
    <t>nama_lengkap</t>
  </si>
  <si>
    <t>tanggal_lahir</t>
  </si>
  <si>
    <t>jenis_kelamin</t>
  </si>
  <si>
    <t>alamat</t>
  </si>
  <si>
    <t>no_telepon</t>
  </si>
  <si>
    <t>tanggal_masuk</t>
  </si>
  <si>
    <t>status_aktif</t>
  </si>
  <si>
    <t>nama_jabatan</t>
  </si>
  <si>
    <t>level</t>
  </si>
  <si>
    <t>gaji_pokok_min</t>
  </si>
  <si>
    <t>gaji_pokok_max</t>
  </si>
  <si>
    <t>nama_departeman</t>
  </si>
  <si>
    <t>lokasi</t>
  </si>
  <si>
    <t>kode_dpt</t>
  </si>
  <si>
    <t>id_kontrak</t>
  </si>
  <si>
    <t>jenis_kontrak</t>
  </si>
  <si>
    <t>tanggal_mulai</t>
  </si>
  <si>
    <t>tanggal_selesai</t>
  </si>
  <si>
    <t>gaji_pokok</t>
  </si>
  <si>
    <t>status_kontrak</t>
  </si>
  <si>
    <t>id_rekening</t>
  </si>
  <si>
    <t>nama_bank</t>
  </si>
  <si>
    <t>no_rekening</t>
  </si>
  <si>
    <t>atas_nama</t>
  </si>
  <si>
    <t>cabang</t>
  </si>
  <si>
    <t>id_absensi</t>
  </si>
  <si>
    <t>tanggal</t>
  </si>
  <si>
    <t>jam_masuk</t>
  </si>
  <si>
    <t>jam_keluar</t>
  </si>
  <si>
    <t>status_hadir</t>
  </si>
  <si>
    <t>id_lembur</t>
  </si>
  <si>
    <t>tanggal_lembur</t>
  </si>
  <si>
    <t>jumlah_jam</t>
  </si>
  <si>
    <t>alasan</t>
  </si>
  <si>
    <t>status_approve</t>
  </si>
  <si>
    <t>tarif_per_jam</t>
  </si>
  <si>
    <t>id_penggajian</t>
  </si>
  <si>
    <t>periode_bulan</t>
  </si>
  <si>
    <t>periode_tahun</t>
  </si>
  <si>
    <t>total_tunjangan</t>
  </si>
  <si>
    <t>total_potongan</t>
  </si>
  <si>
    <t>total_lembur</t>
  </si>
  <si>
    <t>gaji_bersih</t>
  </si>
  <si>
    <t>tanggal_bayar</t>
  </si>
  <si>
    <t>status_bayar</t>
  </si>
  <si>
    <t>id_tunjangan</t>
  </si>
  <si>
    <t>jenis_tunjangan</t>
  </si>
  <si>
    <t>id_potongan</t>
  </si>
  <si>
    <t>jenis_potongan</t>
  </si>
  <si>
    <t>jumlah4</t>
  </si>
  <si>
    <t>K001</t>
  </si>
  <si>
    <t>3301010101800001</t>
  </si>
  <si>
    <t>Ahmad Fauzi</t>
  </si>
  <si>
    <t>1980-01-01</t>
  </si>
  <si>
    <t>L</t>
  </si>
  <si>
    <t>Jl. Merdeka No.1, Purwokerto</t>
  </si>
  <si>
    <t>081200001111</t>
  </si>
  <si>
    <t>2018-03-01</t>
  </si>
  <si>
    <t>Aktif</t>
  </si>
  <si>
    <t>D001</t>
  </si>
  <si>
    <t>J002</t>
  </si>
  <si>
    <t>Manajer</t>
  </si>
  <si>
    <t>Level 4</t>
  </si>
  <si>
    <t>Sumber Daya Manusia</t>
  </si>
  <si>
    <t>Gedung A Lt.2</t>
  </si>
  <si>
    <t>HR</t>
  </si>
  <si>
    <t>KTR001</t>
  </si>
  <si>
    <t>Tetap</t>
  </si>
  <si>
    <t>2028-03-01</t>
  </si>
  <si>
    <t>RK001</t>
  </si>
  <si>
    <t>BRI</t>
  </si>
  <si>
    <t>010101234567890</t>
  </si>
  <si>
    <t>Purwokerto</t>
  </si>
  <si>
    <t>ABS001</t>
  </si>
  <si>
    <t>2025-04-07</t>
  </si>
  <si>
    <t>08:00</t>
  </si>
  <si>
    <t>17:00</t>
  </si>
  <si>
    <t>Hadir</t>
  </si>
  <si>
    <t>-</t>
  </si>
  <si>
    <t>PGJ001</t>
  </si>
  <si>
    <t>April</t>
  </si>
  <si>
    <t>2025</t>
  </si>
  <si>
    <t>2025-04-30</t>
  </si>
  <si>
    <t>Lunas</t>
  </si>
  <si>
    <t>TJ001</t>
  </si>
  <si>
    <t>Tunjangan Jabatan</t>
  </si>
  <si>
    <t>PT001</t>
  </si>
  <si>
    <t>BPJS Kesehatan</t>
  </si>
  <si>
    <t>1% gaji pokok</t>
  </si>
  <si>
    <t>K002</t>
  </si>
  <si>
    <t>3301010201850002</t>
  </si>
  <si>
    <t>Siti Rahayu</t>
  </si>
  <si>
    <t>1985-02-02</t>
  </si>
  <si>
    <t>P</t>
  </si>
  <si>
    <t>Jl. Sudirman No.5, Purwokerto</t>
  </si>
  <si>
    <t>081200002222</t>
  </si>
  <si>
    <t>2019-05-15</t>
  </si>
  <si>
    <t>D002</t>
  </si>
  <si>
    <t>J004</t>
  </si>
  <si>
    <t>Staf Senior</t>
  </si>
  <si>
    <t>Level 2</t>
  </si>
  <si>
    <t>Keuangan</t>
  </si>
  <si>
    <t>Gedung B Lt.1</t>
  </si>
  <si>
    <t>FIN</t>
  </si>
  <si>
    <t>KTR002</t>
  </si>
  <si>
    <t>2029-05-15</t>
  </si>
  <si>
    <t>RK002</t>
  </si>
  <si>
    <t>BCA</t>
  </si>
  <si>
    <t>2345678901234</t>
  </si>
  <si>
    <t>ABS002</t>
  </si>
  <si>
    <t>PGJ002</t>
  </si>
  <si>
    <t>TJ002</t>
  </si>
  <si>
    <t>Tunjangan Makan</t>
  </si>
  <si>
    <t>PT002</t>
  </si>
  <si>
    <t>BPJS Ketenagakerjaan</t>
  </si>
  <si>
    <t>2% gaji pokok</t>
  </si>
  <si>
    <t>K003</t>
  </si>
  <si>
    <t>3301010301900003</t>
  </si>
  <si>
    <t>Budi Santoso</t>
  </si>
  <si>
    <t>1990-03-03</t>
  </si>
  <si>
    <t>Jl. Pemuda No.10, Banyumas</t>
  </si>
  <si>
    <t>081200003333</t>
  </si>
  <si>
    <t>2020-01-10</t>
  </si>
  <si>
    <t>D003</t>
  </si>
  <si>
    <t>J007</t>
  </si>
  <si>
    <t>Programmer</t>
  </si>
  <si>
    <t>Level 3</t>
  </si>
  <si>
    <t>Teknologi Informasi</t>
  </si>
  <si>
    <t>Gedung C Lt.3</t>
  </si>
  <si>
    <t>IT</t>
  </si>
  <si>
    <t>KTR003</t>
  </si>
  <si>
    <t>Kontrak</t>
  </si>
  <si>
    <t>2026-01-10</t>
  </si>
  <si>
    <t>RK003</t>
  </si>
  <si>
    <t>Mandiri</t>
  </si>
  <si>
    <t>1200034567890</t>
  </si>
  <si>
    <t>ABS003</t>
  </si>
  <si>
    <t>PGJ003</t>
  </si>
  <si>
    <t>TJ003</t>
  </si>
  <si>
    <t>Tunjangan Transportasi</t>
  </si>
  <si>
    <t>PT003</t>
  </si>
  <si>
    <t>PPh 21</t>
  </si>
  <si>
    <t>Pajak penghasilan</t>
  </si>
  <si>
    <t>K004</t>
  </si>
  <si>
    <t>3301010401880004</t>
  </si>
  <si>
    <t>Dewi Lestari</t>
  </si>
  <si>
    <t>1988-04-04</t>
  </si>
  <si>
    <t>Jl. Veteran No.3, Purwokerto</t>
  </si>
  <si>
    <t>081200004444</t>
  </si>
  <si>
    <t>2017-07-01</t>
  </si>
  <si>
    <t>D004</t>
  </si>
  <si>
    <t>J003</t>
  </si>
  <si>
    <t>Supervisor</t>
  </si>
  <si>
    <t>Pemasaran</t>
  </si>
  <si>
    <t>Gedung A Lt.1</t>
  </si>
  <si>
    <t>MKT</t>
  </si>
  <si>
    <t>KTR004</t>
  </si>
  <si>
    <t>2027-07-01</t>
  </si>
  <si>
    <t>RK004</t>
  </si>
  <si>
    <t>BNI</t>
  </si>
  <si>
    <t>0345678901234</t>
  </si>
  <si>
    <t>ABS004</t>
  </si>
  <si>
    <t>PGJ004</t>
  </si>
  <si>
    <t>TJ004</t>
  </si>
  <si>
    <t>PT004</t>
  </si>
  <si>
    <t>K005</t>
  </si>
  <si>
    <t>3301010501920005</t>
  </si>
  <si>
    <t>Eko Prasetyo</t>
  </si>
  <si>
    <t>1992-05-05</t>
  </si>
  <si>
    <t>Jl. Diponegoro No.8, Banyumas</t>
  </si>
  <si>
    <t>081200005555</t>
  </si>
  <si>
    <t>2021-02-01</t>
  </si>
  <si>
    <t>D005</t>
  </si>
  <si>
    <t>J005</t>
  </si>
  <si>
    <t>Staf Junior</t>
  </si>
  <si>
    <t>Level 1</t>
  </si>
  <si>
    <t>Operasional</t>
  </si>
  <si>
    <t>Gedung D Lt.1</t>
  </si>
  <si>
    <t>OPS</t>
  </si>
  <si>
    <t>KTR005</t>
  </si>
  <si>
    <t>2025-08-01</t>
  </si>
  <si>
    <t>RK005</t>
  </si>
  <si>
    <t>010145678901234</t>
  </si>
  <si>
    <t>Banyumas</t>
  </si>
  <si>
    <t>ABS005</t>
  </si>
  <si>
    <t>PGJ005</t>
  </si>
  <si>
    <t>TJ005</t>
  </si>
  <si>
    <t>PT005</t>
  </si>
  <si>
    <t>K006</t>
  </si>
  <si>
    <t>3301010601870006</t>
  </si>
  <si>
    <t>Fitria Sari</t>
  </si>
  <si>
    <t>1987-06-06</t>
  </si>
  <si>
    <t>Jl. Gatot Subroto No.12, Purwokerto</t>
  </si>
  <si>
    <t>081200006666</t>
  </si>
  <si>
    <t>2016-04-01</t>
  </si>
  <si>
    <t>KTR006</t>
  </si>
  <si>
    <t>2026-04-01</t>
  </si>
  <si>
    <t>RK006</t>
  </si>
  <si>
    <t>BSI</t>
  </si>
  <si>
    <t>7145678901234</t>
  </si>
  <si>
    <t>ABS006</t>
  </si>
  <si>
    <t>PGJ006</t>
  </si>
  <si>
    <t>TJ006</t>
  </si>
  <si>
    <t>Tunjangan Kesehatan</t>
  </si>
  <si>
    <t>PT006</t>
  </si>
  <si>
    <t>K007</t>
  </si>
  <si>
    <t>3301010701950007</t>
  </si>
  <si>
    <t>Galih Nugroho</t>
  </si>
  <si>
    <t>1995-07-07</t>
  </si>
  <si>
    <t>Jl. Ahmad Yani No.20, Purbalingga</t>
  </si>
  <si>
    <t>081200007777</t>
  </si>
  <si>
    <t>2022-01-15</t>
  </si>
  <si>
    <t>KTR007</t>
  </si>
  <si>
    <t>2024-01-15</t>
  </si>
  <si>
    <t>RK007</t>
  </si>
  <si>
    <t>6745678901234</t>
  </si>
  <si>
    <t>Purbalingga</t>
  </si>
  <si>
    <t>ABS007</t>
  </si>
  <si>
    <t>Izin</t>
  </si>
  <si>
    <t>Izin keluarga</t>
  </si>
  <si>
    <t>PGJ007</t>
  </si>
  <si>
    <t>TJ007</t>
  </si>
  <si>
    <t>PT007</t>
  </si>
  <si>
    <t>K008</t>
  </si>
  <si>
    <t>3301010801830008</t>
  </si>
  <si>
    <t>Heni Purwanti</t>
  </si>
  <si>
    <t>1983-08-08</t>
  </si>
  <si>
    <t>Jl. Raya Sokaraja No.4, Banyumas</t>
  </si>
  <si>
    <t>081200008888</t>
  </si>
  <si>
    <t>2015-09-01</t>
  </si>
  <si>
    <t>KTR008</t>
  </si>
  <si>
    <t>2025-09-01</t>
  </si>
  <si>
    <t>RK008</t>
  </si>
  <si>
    <t>010178901234567</t>
  </si>
  <si>
    <t>ABS008</t>
  </si>
  <si>
    <t>PGJ008</t>
  </si>
  <si>
    <t>TJ008</t>
  </si>
  <si>
    <t>PT008</t>
  </si>
  <si>
    <t>K009</t>
  </si>
  <si>
    <t>3301010901910009</t>
  </si>
  <si>
    <t>Irfan Maulana</t>
  </si>
  <si>
    <t>1991-09-09</t>
  </si>
  <si>
    <t>Jl. Dr. Soeparno No.7, Purwokerto</t>
  </si>
  <si>
    <t>081200009999</t>
  </si>
  <si>
    <t>2020-06-01</t>
  </si>
  <si>
    <t>J006</t>
  </si>
  <si>
    <t>Analis Data</t>
  </si>
  <si>
    <t>KTR009</t>
  </si>
  <si>
    <t>2026-06-01</t>
  </si>
  <si>
    <t>RK009</t>
  </si>
  <si>
    <t>1200089012345</t>
  </si>
  <si>
    <t>ABS009</t>
  </si>
  <si>
    <t>PGJ009</t>
  </si>
  <si>
    <t>TJ009</t>
  </si>
  <si>
    <t>PT009</t>
  </si>
  <si>
    <t>K010</t>
  </si>
  <si>
    <t>3301011001860010</t>
  </si>
  <si>
    <t>Juwita Ningrum</t>
  </si>
  <si>
    <t>1986-10-10</t>
  </si>
  <si>
    <t>Jl. Pahlawan No.15, Banyumas</t>
  </si>
  <si>
    <t>081200010000</t>
  </si>
  <si>
    <t>2018-11-01</t>
  </si>
  <si>
    <t>KTR010</t>
  </si>
  <si>
    <t>2028-11-01</t>
  </si>
  <si>
    <t>RK010</t>
  </si>
  <si>
    <t>0456789012345</t>
  </si>
  <si>
    <t>ABS010</t>
  </si>
  <si>
    <t>Sakit</t>
  </si>
  <si>
    <t>Sakit demam</t>
  </si>
  <si>
    <t>PGJ010</t>
  </si>
  <si>
    <t>TJ010</t>
  </si>
  <si>
    <t>PT010</t>
  </si>
  <si>
    <t>K011</t>
  </si>
  <si>
    <t>3301011101930011</t>
  </si>
  <si>
    <t>Kurniawan Adi</t>
  </si>
  <si>
    <t>1993-11-11</t>
  </si>
  <si>
    <t>Jl. Serayu No.6, Purwokerto</t>
  </si>
  <si>
    <t>081200011111</t>
  </si>
  <si>
    <t>2021-08-01</t>
  </si>
  <si>
    <t>KTR011</t>
  </si>
  <si>
    <t>RK011</t>
  </si>
  <si>
    <t>6712345678901</t>
  </si>
  <si>
    <t>ABS011</t>
  </si>
  <si>
    <t>PGJ011</t>
  </si>
  <si>
    <t>TJ011</t>
  </si>
  <si>
    <t>PT011</t>
  </si>
  <si>
    <t>K012</t>
  </si>
  <si>
    <t>3301011201840012</t>
  </si>
  <si>
    <t>Linda Wahyuni</t>
  </si>
  <si>
    <t>1984-12-12</t>
  </si>
  <si>
    <t>Jl. Raya Baturraden No.9, Banyumas</t>
  </si>
  <si>
    <t>081200012222</t>
  </si>
  <si>
    <t>2014-03-01</t>
  </si>
  <si>
    <t>KTR012</t>
  </si>
  <si>
    <t>2024-03-01</t>
  </si>
  <si>
    <t>RK012</t>
  </si>
  <si>
    <t>010101111222333</t>
  </si>
  <si>
    <t>ABS012</t>
  </si>
  <si>
    <t>PGJ012</t>
  </si>
  <si>
    <t>TJ012</t>
  </si>
  <si>
    <t>PT012</t>
  </si>
  <si>
    <t>K013</t>
  </si>
  <si>
    <t>3301011301960013</t>
  </si>
  <si>
    <t>M. Rizki Pratama</t>
  </si>
  <si>
    <t>1996-01-13</t>
  </si>
  <si>
    <t>Jl. Kaliurang No.11, Purwokerto</t>
  </si>
  <si>
    <t>081200013333</t>
  </si>
  <si>
    <t>2023-03-01</t>
  </si>
  <si>
    <t>KTR013</t>
  </si>
  <si>
    <t>Magang</t>
  </si>
  <si>
    <t>RK013</t>
  </si>
  <si>
    <t>6734567890123</t>
  </si>
  <si>
    <t>ABS013</t>
  </si>
  <si>
    <t>PGJ013</t>
  </si>
  <si>
    <t>TJ013</t>
  </si>
  <si>
    <t>PT013</t>
  </si>
  <si>
    <t>K014</t>
  </si>
  <si>
    <t>3301011401890014</t>
  </si>
  <si>
    <t>Novi Andriani</t>
  </si>
  <si>
    <t>1989-02-14</t>
  </si>
  <si>
    <t>Jl. Tentara Pelajar No.2, Banyumas</t>
  </si>
  <si>
    <t>081200014444</t>
  </si>
  <si>
    <t>2019-09-01</t>
  </si>
  <si>
    <t>KTR014</t>
  </si>
  <si>
    <t>2029-09-01</t>
  </si>
  <si>
    <t>RK014</t>
  </si>
  <si>
    <t>1200054321098</t>
  </si>
  <si>
    <t>ABS014</t>
  </si>
  <si>
    <t>PGJ014</t>
  </si>
  <si>
    <t>TJ014</t>
  </si>
  <si>
    <t>PT014</t>
  </si>
  <si>
    <t>K015</t>
  </si>
  <si>
    <t>3301011501940015</t>
  </si>
  <si>
    <t>Oki Hermawan</t>
  </si>
  <si>
    <t>1994-03-15</t>
  </si>
  <si>
    <t>Jl. Raya Ajibarang No.16, Banyumas</t>
  </si>
  <si>
    <t>081200015555</t>
  </si>
  <si>
    <t>2022-06-01</t>
  </si>
  <si>
    <t>KTR015</t>
  </si>
  <si>
    <t>2025-06-01</t>
  </si>
  <si>
    <t>RK015</t>
  </si>
  <si>
    <t>0412345678901</t>
  </si>
  <si>
    <t>ABS015</t>
  </si>
  <si>
    <t>PGJ015</t>
  </si>
  <si>
    <t>TJ015</t>
  </si>
  <si>
    <t>PT015</t>
  </si>
  <si>
    <t>K016</t>
  </si>
  <si>
    <t>3301011601810016</t>
  </si>
  <si>
    <t>Putri Handayani</t>
  </si>
  <si>
    <t>1981-04-16</t>
  </si>
  <si>
    <t>Jl. Mayjend Sungkono No.5, Purwokerto</t>
  </si>
  <si>
    <t>081200016666</t>
  </si>
  <si>
    <t>2012-01-01</t>
  </si>
  <si>
    <t>J001</t>
  </si>
  <si>
    <t>Direktur</t>
  </si>
  <si>
    <t>Level 5</t>
  </si>
  <si>
    <t>KTR016</t>
  </si>
  <si>
    <t>2032-01-01</t>
  </si>
  <si>
    <t>RK016</t>
  </si>
  <si>
    <t>6798765432109</t>
  </si>
  <si>
    <t>ABS016</t>
  </si>
  <si>
    <t>PGJ016</t>
  </si>
  <si>
    <t>TJ016</t>
  </si>
  <si>
    <t>PT016</t>
  </si>
  <si>
    <t>K017</t>
  </si>
  <si>
    <t>3301011701970017</t>
  </si>
  <si>
    <t>Raka Saputra</t>
  </si>
  <si>
    <t>1997-05-17</t>
  </si>
  <si>
    <t>Jl. Raya Cilacap No.3, Banyumas</t>
  </si>
  <si>
    <t>081200017777</t>
  </si>
  <si>
    <t>2023-08-01</t>
  </si>
  <si>
    <t>KTR017</t>
  </si>
  <si>
    <t>2024-08-01</t>
  </si>
  <si>
    <t>RK017</t>
  </si>
  <si>
    <t>010198765432109</t>
  </si>
  <si>
    <t>ABS017</t>
  </si>
  <si>
    <t>PGJ017</t>
  </si>
  <si>
    <t>TJ017</t>
  </si>
  <si>
    <t>PT017</t>
  </si>
  <si>
    <t>K018</t>
  </si>
  <si>
    <t>3301011801850018</t>
  </si>
  <si>
    <t>Sri Mulyani</t>
  </si>
  <si>
    <t>1985-06-18</t>
  </si>
  <si>
    <t>Jl. Let. Jend. Suprapto No.8, Purwokerto</t>
  </si>
  <si>
    <t>081200018888</t>
  </si>
  <si>
    <t>2017-12-01</t>
  </si>
  <si>
    <t>KTR018</t>
  </si>
  <si>
    <t>2027-12-01</t>
  </si>
  <si>
    <t>RK018</t>
  </si>
  <si>
    <t>7198765432109</t>
  </si>
  <si>
    <t>ABS018</t>
  </si>
  <si>
    <t>Alpa</t>
  </si>
  <si>
    <t>PGJ018</t>
  </si>
  <si>
    <t>TJ018</t>
  </si>
  <si>
    <t>PT018</t>
  </si>
  <si>
    <t>K019</t>
  </si>
  <si>
    <t>3301011901920019</t>
  </si>
  <si>
    <t>Teguh Wibowo</t>
  </si>
  <si>
    <t>1992-07-19</t>
  </si>
  <si>
    <t>Jl. Raya Purbalingga No.14, Banyumas</t>
  </si>
  <si>
    <t>081200019999</t>
  </si>
  <si>
    <t>2020-10-01</t>
  </si>
  <si>
    <t>KTR019</t>
  </si>
  <si>
    <t>2026-10-01</t>
  </si>
  <si>
    <t>RK019</t>
  </si>
  <si>
    <t>1200065432109</t>
  </si>
  <si>
    <t>ABS019</t>
  </si>
  <si>
    <t>PGJ019</t>
  </si>
  <si>
    <t>TJ019</t>
  </si>
  <si>
    <t>PT019</t>
  </si>
  <si>
    <t>K020</t>
  </si>
  <si>
    <t>3301012001880020</t>
  </si>
  <si>
    <t>Ulfah Rahmawati</t>
  </si>
  <si>
    <t>1988-08-20</t>
  </si>
  <si>
    <t>Jl. Raya Somagede No.7, Banyumas</t>
  </si>
  <si>
    <t>081200020000</t>
  </si>
  <si>
    <t>2018-05-01</t>
  </si>
  <si>
    <t>KTR020</t>
  </si>
  <si>
    <t>2028-05-01</t>
  </si>
  <si>
    <t>RK020</t>
  </si>
  <si>
    <t>0487654321098</t>
  </si>
  <si>
    <t>ABS020</t>
  </si>
  <si>
    <t>PGJ020</t>
  </si>
  <si>
    <t>TJ020</t>
  </si>
  <si>
    <t>PT020</t>
  </si>
  <si>
    <t>K021</t>
  </si>
  <si>
    <t>3301012101910021</t>
  </si>
  <si>
    <t>Vino Kurniawan</t>
  </si>
  <si>
    <t>1991-09-21</t>
  </si>
  <si>
    <t>Jl. Raya Lumbir No.2, Banyumas</t>
  </si>
  <si>
    <t>081200021111</t>
  </si>
  <si>
    <t>2019-03-01</t>
  </si>
  <si>
    <t>KTR021</t>
  </si>
  <si>
    <t>2029-03-01</t>
  </si>
  <si>
    <t>RK021</t>
  </si>
  <si>
    <t>010176543210987</t>
  </si>
  <si>
    <t>ABS021</t>
  </si>
  <si>
    <t>PGJ021</t>
  </si>
  <si>
    <t>TJ021</t>
  </si>
  <si>
    <t>PT021</t>
  </si>
  <si>
    <t>K022</t>
  </si>
  <si>
    <t>3301012201960022</t>
  </si>
  <si>
    <t>Wulandari Dewi</t>
  </si>
  <si>
    <t>1996-10-22</t>
  </si>
  <si>
    <t>Jl. Raya Sumbang No.5, Banyumas</t>
  </si>
  <si>
    <t>081200022222</t>
  </si>
  <si>
    <t>2023-01-01</t>
  </si>
  <si>
    <t>KTR022</t>
  </si>
  <si>
    <t>2024-01-01</t>
  </si>
  <si>
    <t>RK022</t>
  </si>
  <si>
    <t>6754321098765</t>
  </si>
  <si>
    <t>ABS022</t>
  </si>
  <si>
    <t>PGJ022</t>
  </si>
  <si>
    <t>TJ022</t>
  </si>
  <si>
    <t>PT022</t>
  </si>
  <si>
    <t>K023</t>
  </si>
  <si>
    <t>3301012301870023</t>
  </si>
  <si>
    <t>Xander Pratomo</t>
  </si>
  <si>
    <t>1987-11-23</t>
  </si>
  <si>
    <t>Jl. Raya Kemranjen No.3, Banyumas</t>
  </si>
  <si>
    <t>081200023333</t>
  </si>
  <si>
    <t>2016-08-01</t>
  </si>
  <si>
    <t>KTR023</t>
  </si>
  <si>
    <t>2026-08-01</t>
  </si>
  <si>
    <t>RK023</t>
  </si>
  <si>
    <t>1200076543210</t>
  </si>
  <si>
    <t>ABS023</t>
  </si>
  <si>
    <t>PGJ023</t>
  </si>
  <si>
    <t>TJ023</t>
  </si>
  <si>
    <t>PT023</t>
  </si>
  <si>
    <t>K024</t>
  </si>
  <si>
    <t>3301012401930024</t>
  </si>
  <si>
    <t>Yuli Susanti</t>
  </si>
  <si>
    <t>1993-12-24</t>
  </si>
  <si>
    <t>Jl. Raya Gumelar No.10, Banyumas</t>
  </si>
  <si>
    <t>081200024444</t>
  </si>
  <si>
    <t>2021-05-01</t>
  </si>
  <si>
    <t>KTR024</t>
  </si>
  <si>
    <t>2025-05-01</t>
  </si>
  <si>
    <t>RK024</t>
  </si>
  <si>
    <t>0465432109876</t>
  </si>
  <si>
    <t>ABS024</t>
  </si>
  <si>
    <t>PGJ024</t>
  </si>
  <si>
    <t>TJ024</t>
  </si>
  <si>
    <t>PT024</t>
  </si>
  <si>
    <t>K025</t>
  </si>
  <si>
    <t>3301012501800025</t>
  </si>
  <si>
    <t>Zainal Arifin</t>
  </si>
  <si>
    <t>1980-01-25</t>
  </si>
  <si>
    <t>Jl. Raya Patikraja No.6, Banyumas</t>
  </si>
  <si>
    <t>081200025555</t>
  </si>
  <si>
    <t>2010-02-01</t>
  </si>
  <si>
    <t>KTR025</t>
  </si>
  <si>
    <t>2030-02-01</t>
  </si>
  <si>
    <t>RK025</t>
  </si>
  <si>
    <t>010154321098765</t>
  </si>
  <si>
    <t>ABS025</t>
  </si>
  <si>
    <t>PGJ025</t>
  </si>
  <si>
    <t>TJ025</t>
  </si>
  <si>
    <t>PT025</t>
  </si>
  <si>
    <t>K026</t>
  </si>
  <si>
    <t>3301012601940026</t>
  </si>
  <si>
    <t>Annisa Fitriana</t>
  </si>
  <si>
    <t>1994-02-26</t>
  </si>
  <si>
    <t>Jl. Raya Karanglewas No.4, Banyumas</t>
  </si>
  <si>
    <t>081200026666</t>
  </si>
  <si>
    <t>2022-03-01</t>
  </si>
  <si>
    <t>KTR026</t>
  </si>
  <si>
    <t>2025-03-01</t>
  </si>
  <si>
    <t>RK026</t>
  </si>
  <si>
    <t>6743210987654</t>
  </si>
  <si>
    <t>ABS026</t>
  </si>
  <si>
    <t>PGJ026</t>
  </si>
  <si>
    <t>TJ026</t>
  </si>
  <si>
    <t>PT026</t>
  </si>
  <si>
    <t>K027</t>
  </si>
  <si>
    <t>3301012701830027</t>
  </si>
  <si>
    <t>Bagus Setiawan</t>
  </si>
  <si>
    <t>1983-03-27</t>
  </si>
  <si>
    <t>Jl. Raya Kedungbanteng No.8, Banyumas</t>
  </si>
  <si>
    <t>081200027777</t>
  </si>
  <si>
    <t>2014-07-01</t>
  </si>
  <si>
    <t>KTR027</t>
  </si>
  <si>
    <t>2024-07-01</t>
  </si>
  <si>
    <t>RK027</t>
  </si>
  <si>
    <t>7143210987654</t>
  </si>
  <si>
    <t>ABS027</t>
  </si>
  <si>
    <t>PGJ027</t>
  </si>
  <si>
    <t>TJ027</t>
  </si>
  <si>
    <t>PT027</t>
  </si>
  <si>
    <t>K028</t>
  </si>
  <si>
    <t>3301012801920028</t>
  </si>
  <si>
    <t>Citra Melati</t>
  </si>
  <si>
    <t>1992-04-28</t>
  </si>
  <si>
    <t>Jl. Raya Purwojati No.12, Banyumas</t>
  </si>
  <si>
    <t>081200028888</t>
  </si>
  <si>
    <t>2020-09-01</t>
  </si>
  <si>
    <t>KTR028</t>
  </si>
  <si>
    <t>2030-09-01</t>
  </si>
  <si>
    <t>RK028</t>
  </si>
  <si>
    <t>1200087654321</t>
  </si>
  <si>
    <t>ABS028</t>
  </si>
  <si>
    <t>PGJ028</t>
  </si>
  <si>
    <t>TJ028</t>
  </si>
  <si>
    <t>PT028</t>
  </si>
  <si>
    <t>K029</t>
  </si>
  <si>
    <t>3301012901970029</t>
  </si>
  <si>
    <t>Denny Firmansyah</t>
  </si>
  <si>
    <t>1997-05-29</t>
  </si>
  <si>
    <t>Jl. Raya Sumpiuh No.9, Banyumas</t>
  </si>
  <si>
    <t>081200029999</t>
  </si>
  <si>
    <t>2023-06-01</t>
  </si>
  <si>
    <t>KTR029</t>
  </si>
  <si>
    <t>2024-06-01</t>
  </si>
  <si>
    <t>RK029</t>
  </si>
  <si>
    <t>0432109876543</t>
  </si>
  <si>
    <t>ABS029</t>
  </si>
  <si>
    <t>Sakit flu</t>
  </si>
  <si>
    <t>PGJ029</t>
  </si>
  <si>
    <t>TJ029</t>
  </si>
  <si>
    <t>PT029</t>
  </si>
  <si>
    <t>K030</t>
  </si>
  <si>
    <t>3301013001860030</t>
  </si>
  <si>
    <t>Esti Rohmah</t>
  </si>
  <si>
    <t>1986-06-30</t>
  </si>
  <si>
    <t>Jl. Raya Tambak No.3, Banyumas</t>
  </si>
  <si>
    <t>081200030000</t>
  </si>
  <si>
    <t>2017-04-01</t>
  </si>
  <si>
    <t>KTR030</t>
  </si>
  <si>
    <t>2027-04-01</t>
  </si>
  <si>
    <t>RK030</t>
  </si>
  <si>
    <t>010132109876543</t>
  </si>
  <si>
    <t>ABS030</t>
  </si>
  <si>
    <t>PGJ030</t>
  </si>
  <si>
    <t>TJ030</t>
  </si>
  <si>
    <t>PT030</t>
  </si>
  <si>
    <t>keterangan_potongan</t>
  </si>
  <si>
    <t>keterangan_absensi</t>
  </si>
  <si>
    <t xml:space="preserve">id_jabatan </t>
  </si>
  <si>
    <t xml:space="preserve">id_departemen </t>
  </si>
  <si>
    <t>jumlah_tunjangan</t>
  </si>
  <si>
    <t>keterangan_tunjangan</t>
  </si>
  <si>
    <t>Hadir,Izin</t>
  </si>
  <si>
    <t>Hadir,Sakit</t>
  </si>
  <si>
    <t>Hadir,Alpha</t>
  </si>
  <si>
    <t>Tidak ada keterangan</t>
  </si>
  <si>
    <t>08:00,-</t>
  </si>
  <si>
    <t>17:00,-</t>
  </si>
  <si>
    <t>2025-04-07,2025-04-11</t>
  </si>
  <si>
    <t>2025-04-07,2025-04-10</t>
  </si>
  <si>
    <t>2025-04-07,2025-04-12</t>
  </si>
  <si>
    <t>Tunjangan Makan,Tunjangan Jabatan</t>
  </si>
  <si>
    <t>Tunjangan Jabatan,Tunjangan Makan</t>
  </si>
  <si>
    <t>Sakit Gigi</t>
  </si>
  <si>
    <t>Alpha</t>
  </si>
  <si>
    <t xml:space="preserve"> Tidak ada keterangan</t>
  </si>
  <si>
    <t>jumlah_potongan</t>
  </si>
  <si>
    <t>Tabel Karyawan</t>
  </si>
  <si>
    <t>Tabel Departemen</t>
  </si>
  <si>
    <t>Tabel Jabatan</t>
  </si>
  <si>
    <t>Tabel Kontrak</t>
  </si>
  <si>
    <t>id_karyawan(PK)</t>
  </si>
  <si>
    <t>Tabel Penggajian</t>
  </si>
  <si>
    <t>Tabel Tunjangan</t>
  </si>
  <si>
    <t>id_penggajian(FK)</t>
  </si>
  <si>
    <t>Tabel Potongan</t>
  </si>
  <si>
    <t>Tabel absensi</t>
  </si>
  <si>
    <t>LBR001</t>
  </si>
  <si>
    <t>Penyelesaian laporan bulanan</t>
  </si>
  <si>
    <t>Approved</t>
  </si>
  <si>
    <t>LBR013</t>
  </si>
  <si>
    <t>Persiapan penggajian</t>
  </si>
  <si>
    <t>Pending</t>
  </si>
  <si>
    <t>LBR002</t>
  </si>
  <si>
    <t>Deploy sistem baru</t>
  </si>
  <si>
    <t>LBR003</t>
  </si>
  <si>
    <t>Event pemasaran</t>
  </si>
  <si>
    <t>LBR004</t>
  </si>
  <si>
    <t>Rekrutmen karyawan</t>
  </si>
  <si>
    <t>LBR014</t>
  </si>
  <si>
    <t>Testing aplikasi</t>
  </si>
  <si>
    <t>LBR005</t>
  </si>
  <si>
    <t>Audit keuangan</t>
  </si>
  <si>
    <t>LBR006</t>
  </si>
  <si>
    <t>Maintenance server</t>
  </si>
  <si>
    <t>LBR015</t>
  </si>
  <si>
    <t>Analisis pasar</t>
  </si>
  <si>
    <t>LBR007</t>
  </si>
  <si>
    <t>Koordinasi SDM</t>
  </si>
  <si>
    <t>LBR008</t>
  </si>
  <si>
    <t>Rekonsiliasi data</t>
  </si>
  <si>
    <t>LBR009</t>
  </si>
  <si>
    <t>Pengembangan sistem</t>
  </si>
  <si>
    <t>LBR010</t>
  </si>
  <si>
    <t>Pameran produk</t>
  </si>
  <si>
    <t>LBR011</t>
  </si>
  <si>
    <t>Review laporan keuangan</t>
  </si>
  <si>
    <t>LBR012</t>
  </si>
  <si>
    <t>Koordinasi operasional</t>
  </si>
  <si>
    <t>Tabel Lembur</t>
  </si>
  <si>
    <t>Tabel Rekening</t>
  </si>
  <si>
    <t xml:space="preserve">id_departemen(FK) </t>
  </si>
  <si>
    <t xml:space="preserve">id_jabatan(FK) </t>
  </si>
  <si>
    <t>id_karyawan(FK)</t>
  </si>
  <si>
    <t>id_rekening(PK)</t>
  </si>
  <si>
    <t>id_lembur(PK)</t>
  </si>
  <si>
    <t>id_absensi(PK)</t>
  </si>
  <si>
    <t>id_potongan(PK)</t>
  </si>
  <si>
    <t>id_tunjangan(PK)</t>
  </si>
  <si>
    <t xml:space="preserve">id_departemen(PK) </t>
  </si>
  <si>
    <t xml:space="preserve">id_jabatan(PK) </t>
  </si>
  <si>
    <t>id_kontrak(PK)</t>
  </si>
  <si>
    <t>id_penggajian(PK)</t>
  </si>
  <si>
    <t>id_departemen(FK)</t>
  </si>
  <si>
    <t>TJ002,TJ040</t>
  </si>
  <si>
    <t>TJ015,TJ045</t>
  </si>
  <si>
    <t>ABS031</t>
  </si>
  <si>
    <t>ABS001,ABS040</t>
  </si>
  <si>
    <t>ABS014,ABS045</t>
  </si>
  <si>
    <t>ABS030,ABS050</t>
  </si>
  <si>
    <t>ABS045</t>
  </si>
  <si>
    <t>ABS050</t>
  </si>
  <si>
    <t>TJ040</t>
  </si>
  <si>
    <t>TJ045</t>
  </si>
  <si>
    <t>TJ050</t>
  </si>
  <si>
    <t>TJ021,TJ050</t>
  </si>
  <si>
    <t>TJ027,TJ055</t>
  </si>
  <si>
    <t>TJ055</t>
  </si>
  <si>
    <t>ABS040</t>
  </si>
  <si>
    <t>Tabel kontrak</t>
  </si>
  <si>
    <t>Tabel Absensi</t>
  </si>
  <si>
    <t>Tabel Lember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</si>
</sst>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20" fontId="0" fillId="8" borderId="1" xfId="0" applyNumberFormat="1" applyFill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 vertical="center"/>
    </xf>
    <xf numFmtId="0" fontId="0" fillId="8" borderId="0" xfId="0" applyFill="1"/>
    <xf numFmtId="0" fontId="0" fillId="11" borderId="0" xfId="0" applyFill="1"/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3" borderId="0" xfId="0" applyFill="1"/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20" fontId="0" fillId="0" borderId="0" xfId="0" applyNumberForma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Border="1"/>
    <xf numFmtId="164" fontId="0" fillId="0" borderId="0" xfId="0" applyNumberFormat="1" applyBorder="1"/>
    <xf numFmtId="0" fontId="0" fillId="0" borderId="4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EB906-EA38-49C9-A1E1-0B0A5DA9688B}">
  <dimension ref="A1:BF31"/>
  <sheetViews>
    <sheetView topLeftCell="U1" zoomScale="93" workbookViewId="0">
      <selection activeCell="U2" sqref="A2:XFD2"/>
    </sheetView>
  </sheetViews>
  <sheetFormatPr defaultRowHeight="15" x14ac:dyDescent="0.25"/>
  <cols>
    <col min="1" max="1" width="12.140625" bestFit="1" customWidth="1"/>
    <col min="2" max="2" width="18" bestFit="1" customWidth="1"/>
    <col min="3" max="3" width="17.5703125" bestFit="1" customWidth="1"/>
    <col min="4" max="4" width="12.42578125" bestFit="1" customWidth="1"/>
    <col min="5" max="5" width="13.5703125" bestFit="1" customWidth="1"/>
    <col min="6" max="6" width="37.28515625" bestFit="1" customWidth="1"/>
    <col min="7" max="7" width="13.140625" bestFit="1" customWidth="1"/>
    <col min="8" max="8" width="14.28515625" bestFit="1" customWidth="1"/>
    <col min="9" max="9" width="11.28515625" bestFit="1" customWidth="1"/>
    <col min="10" max="10" width="19" bestFit="1" customWidth="1"/>
    <col min="11" max="11" width="14.42578125" bestFit="1" customWidth="1"/>
    <col min="12" max="12" width="13.5703125" bestFit="1" customWidth="1"/>
    <col min="13" max="13" width="7.140625" bestFit="1" customWidth="1"/>
    <col min="14" max="14" width="15.140625" bestFit="1" customWidth="1"/>
    <col min="15" max="15" width="15.42578125" bestFit="1" customWidth="1"/>
    <col min="16" max="16" width="20.7109375" bestFit="1" customWidth="1"/>
    <col min="17" max="17" width="13.28515625" bestFit="1" customWidth="1"/>
    <col min="18" max="18" width="9.42578125" bestFit="1" customWidth="1"/>
    <col min="19" max="19" width="10.42578125" bestFit="1" customWidth="1"/>
    <col min="20" max="20" width="13.140625" bestFit="1" customWidth="1"/>
    <col min="21" max="21" width="13.5703125" bestFit="1" customWidth="1"/>
    <col min="22" max="22" width="14.7109375" bestFit="1" customWidth="1"/>
    <col min="23" max="23" width="10.5703125" bestFit="1" customWidth="1"/>
    <col min="24" max="24" width="14.140625" bestFit="1" customWidth="1"/>
    <col min="25" max="25" width="11.5703125" bestFit="1" customWidth="1"/>
    <col min="26" max="26" width="11.140625" bestFit="1" customWidth="1"/>
    <col min="27" max="27" width="16.140625" bestFit="1" customWidth="1"/>
    <col min="28" max="28" width="16.140625" customWidth="1"/>
    <col min="29" max="29" width="11.42578125" bestFit="1" customWidth="1"/>
    <col min="30" max="30" width="14.5703125" bestFit="1" customWidth="1"/>
    <col min="31" max="31" width="21" bestFit="1" customWidth="1"/>
    <col min="32" max="32" width="11" bestFit="1" customWidth="1"/>
    <col min="33" max="33" width="10.85546875" bestFit="1" customWidth="1"/>
    <col min="34" max="34" width="11.85546875" bestFit="1" customWidth="1"/>
    <col min="35" max="35" width="21.85546875" bestFit="1" customWidth="1"/>
    <col min="36" max="36" width="10.140625" bestFit="1" customWidth="1"/>
    <col min="37" max="37" width="15" bestFit="1" customWidth="1"/>
    <col min="38" max="38" width="11.42578125" bestFit="1" customWidth="1"/>
    <col min="39" max="39" width="28.140625" bestFit="1" customWidth="1"/>
    <col min="40" max="40" width="14.7109375" bestFit="1" customWidth="1"/>
    <col min="41" max="41" width="13.140625" bestFit="1" customWidth="1"/>
    <col min="42" max="42" width="13.5703125" bestFit="1" customWidth="1"/>
    <col min="43" max="43" width="14.140625" bestFit="1" customWidth="1"/>
    <col min="44" max="44" width="14.28515625" bestFit="1" customWidth="1"/>
    <col min="45" max="45" width="17.140625" bestFit="1" customWidth="1"/>
    <col min="46" max="46" width="14.7109375" bestFit="1" customWidth="1"/>
    <col min="47" max="47" width="12.5703125" bestFit="1" customWidth="1"/>
    <col min="48" max="48" width="10.7109375" bestFit="1" customWidth="1"/>
    <col min="49" max="49" width="13.42578125" bestFit="1" customWidth="1"/>
    <col min="50" max="50" width="12.140625" bestFit="1" customWidth="1"/>
    <col min="51" max="51" width="12.5703125" bestFit="1" customWidth="1"/>
    <col min="52" max="52" width="34.140625" bestFit="1" customWidth="1"/>
    <col min="53" max="53" width="17.28515625" bestFit="1" customWidth="1"/>
    <col min="54" max="54" width="21.140625" bestFit="1" customWidth="1"/>
    <col min="55" max="55" width="14" bestFit="1" customWidth="1"/>
    <col min="56" max="56" width="20.5703125" bestFit="1" customWidth="1"/>
    <col min="57" max="57" width="8.140625" bestFit="1" customWidth="1"/>
    <col min="58" max="58" width="20.7109375" bestFit="1" customWidth="1"/>
  </cols>
  <sheetData>
    <row r="1" spans="1:5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581</v>
      </c>
      <c r="K1" s="3" t="s">
        <v>580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579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582</v>
      </c>
      <c r="BB1" s="3" t="s">
        <v>583</v>
      </c>
      <c r="BC1" s="3" t="s">
        <v>49</v>
      </c>
      <c r="BD1" s="3" t="s">
        <v>50</v>
      </c>
      <c r="BE1" s="3" t="s">
        <v>51</v>
      </c>
      <c r="BF1" s="3" t="s">
        <v>578</v>
      </c>
    </row>
    <row r="2" spans="1:58" x14ac:dyDescent="0.25">
      <c r="A2" s="3" t="s">
        <v>52</v>
      </c>
      <c r="B2" s="3" t="s">
        <v>53</v>
      </c>
      <c r="C2" s="3" t="s">
        <v>54</v>
      </c>
      <c r="D2" s="3" t="s">
        <v>55</v>
      </c>
      <c r="E2" s="3" t="s">
        <v>56</v>
      </c>
      <c r="F2" s="3" t="s">
        <v>57</v>
      </c>
      <c r="G2" s="3" t="s">
        <v>58</v>
      </c>
      <c r="H2" s="3" t="s">
        <v>59</v>
      </c>
      <c r="I2" s="3" t="s">
        <v>60</v>
      </c>
      <c r="J2" s="3" t="s">
        <v>61</v>
      </c>
      <c r="K2" s="3" t="s">
        <v>62</v>
      </c>
      <c r="L2" s="3" t="s">
        <v>63</v>
      </c>
      <c r="M2" s="3" t="s">
        <v>64</v>
      </c>
      <c r="N2" s="3">
        <v>8000000</v>
      </c>
      <c r="O2" s="3">
        <v>15000000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59</v>
      </c>
      <c r="V2" s="3" t="s">
        <v>70</v>
      </c>
      <c r="W2" s="3">
        <v>10000000</v>
      </c>
      <c r="X2" s="3" t="s">
        <v>60</v>
      </c>
      <c r="Y2" s="3" t="s">
        <v>71</v>
      </c>
      <c r="Z2" s="3" t="s">
        <v>72</v>
      </c>
      <c r="AA2" s="3" t="s">
        <v>73</v>
      </c>
      <c r="AB2" s="3" t="s">
        <v>54</v>
      </c>
      <c r="AC2" s="3" t="s">
        <v>74</v>
      </c>
      <c r="AD2" s="3" t="s">
        <v>659</v>
      </c>
      <c r="AE2" s="3" t="s">
        <v>590</v>
      </c>
      <c r="AF2" s="3" t="s">
        <v>588</v>
      </c>
      <c r="AG2" s="3" t="s">
        <v>589</v>
      </c>
      <c r="AH2" s="3" t="s">
        <v>584</v>
      </c>
      <c r="AI2" s="3" t="str">
        <f>"-,Izin keluarga"</f>
        <v>-,Izin keluarga</v>
      </c>
      <c r="AJ2" s="3" t="str">
        <f t="shared" ref="AJ2:AJ31" si="0">_xlfn.IFS(
A2="K001","LBR001",
A2="K003","LBR002",
A2="K004","LBR003",
A2="K006","LBR004",
A2="K008","LBR005",
A2="K009","LBR006",
A2="K012","LBR007",
A2="K018","LBR008",
A2="K019","LBR009",
A2="K020","LBR010",
A2="K023","LBR011",
A2="K025","LBR012",
A2="K002","LBR013",
A2="K007","LBR014",
A2="K010","LBR015",
TRUE,"-"
)</f>
        <v>LBR001</v>
      </c>
      <c r="AK2" s="7">
        <f t="shared" ref="AK2:AK31" si="1">_xlfn.IFS(
A2="K001",DATE(2025,4,8),
A2="K003",DATE(2025,4,9),
A2="K004",DATE(2025,4,10),
A2="K006",DATE(2025,4,11),
A2="K008",DATE(2025,4,12),
A2="K009",DATE(2025,4,13),
A2="K012",DATE(2025,4,14),
A2="K018",DATE(2025,4,15),
A2="K019",DATE(2025,4,16),
A2="K020",DATE(2025,4,17),
A2="K023",DATE(2025,4,18),
A2="K025",DATE(2025,4,19),
A2="K002",DATE(2025,4,20),
A2="K007",DATE(2025,4,22),
A2="K010",DATE(2025,4,23),
TRUE,"-"
)</f>
        <v>45755</v>
      </c>
      <c r="AL2" s="3">
        <f t="shared" ref="AL2:AL31" si="2">_xlfn.IFS(
A2="K001",3,
A2="K003",2,
A2="K004",4,
A2="K006",2,
A2="K008",3,
A2="K009",5,
A2="K012",2,
A2="K018",3,
A2="K019",4,
A2="K020",2,
A2="K023",3,
A2="K025",2,
A2="K002",2,
A2="K007",3,
A2="K010",2,
TRUE,"-"
)</f>
        <v>3</v>
      </c>
      <c r="AM2" s="3" t="str">
        <f t="shared" ref="AM2:AM31" si="3">_xlfn.IFS(
A2="K001","Penyelesaian laporan bulanan",
A2="K003","Deploy sistem baru",
A2="K004","Event pemasaran",
A2="K006","Rekrutmen karyawan",
A2="K008","Audit keuangan",
A2="K009","Maintenance server",
A2="K012","Koordinasi SDM",
A2="K018","Rekonsiliasi data",
A2="K019","Pengembangan sistem",
A2="K020","Pameran produk",
A2="K023","Review laporan keuangan",
A2="K025","Koordinasi operasional",
A2="K002","Persiapan penggajian",
A2="K007","Testing aplikasi",
A2="K010","Analisis pasar",
TRUE,"-"
)</f>
        <v>Penyelesaian laporan bulanan</v>
      </c>
      <c r="AN2" s="3" t="str">
        <f t="shared" ref="AN2:AN31" si="4">_xlfn.IFS(
A2="K001","Approved",
A2="K003","Approved",
A2="K004","Approved",
A2="K006","Approved",
A2="K008","Approved",
A2="K009","Approved",
A2="K012","Approved",
A2="K018","Approved",
A2="K019","Approved",
A2="K020","Approved",
A2="K023","Approved",
A2="K025","Approved",
A2="K002","Pending",
A2="K007","Pending",
A2="K010","Pending",
TRUE,"-"
)</f>
        <v>Approved</v>
      </c>
      <c r="AO2" s="3">
        <f t="shared" ref="AO2:AO31" si="5">_xlfn.IFS(
A2="K001",25000,
A2="K003",27500,
A2="K004",22000,
A2="K006",22000,
A2="K008",23000,
A2="K009",27500,
A2="K012",30000,
A2="K018",22000,
A2="K019",27500,
A2="K020",23000,
A2="K023",28000,
A2="K025",29000,
A2="K002",22500,
A2="K007",20000,
A2="K010",21000,
TRUE,"-"
)</f>
        <v>25000</v>
      </c>
      <c r="AP2" s="3" t="s">
        <v>81</v>
      </c>
      <c r="AQ2" s="3" t="s">
        <v>82</v>
      </c>
      <c r="AR2" s="3" t="s">
        <v>83</v>
      </c>
      <c r="AS2" s="3">
        <v>2500000</v>
      </c>
      <c r="AT2" s="3">
        <v>1250000</v>
      </c>
      <c r="AU2" s="3">
        <v>75000</v>
      </c>
      <c r="AV2" s="3">
        <v>11325000</v>
      </c>
      <c r="AW2" s="3" t="s">
        <v>84</v>
      </c>
      <c r="AX2" s="3" t="s">
        <v>85</v>
      </c>
      <c r="AY2" s="3" t="s">
        <v>86</v>
      </c>
      <c r="AZ2" s="3" t="s">
        <v>87</v>
      </c>
      <c r="BA2" s="3">
        <v>1500000</v>
      </c>
      <c r="BB2" s="3" t="str">
        <f>_xlfn.IFS(
AZ2="Tunjangan Jabatan","Sesuai jabatan",
AZ2="Tunjangan Makan","Biaya makan",
AZ2="Tunjangan Transportasi","Biaya transport",
AZ2="Tunjangan Kesehatan","Biaya kesehatan"
)</f>
        <v>Sesuai jabatan</v>
      </c>
      <c r="BC2" s="3" t="s">
        <v>88</v>
      </c>
      <c r="BD2" s="3" t="s">
        <v>89</v>
      </c>
      <c r="BE2" s="3">
        <v>250000</v>
      </c>
      <c r="BF2" s="3" t="s">
        <v>90</v>
      </c>
    </row>
    <row r="3" spans="1:58" x14ac:dyDescent="0.25">
      <c r="A3" s="3" t="s">
        <v>91</v>
      </c>
      <c r="B3" s="3" t="s">
        <v>92</v>
      </c>
      <c r="C3" s="3" t="s">
        <v>93</v>
      </c>
      <c r="D3" s="3" t="s">
        <v>94</v>
      </c>
      <c r="E3" s="3" t="s">
        <v>95</v>
      </c>
      <c r="F3" s="3" t="s">
        <v>96</v>
      </c>
      <c r="G3" s="3" t="s">
        <v>97</v>
      </c>
      <c r="H3" s="3" t="s">
        <v>98</v>
      </c>
      <c r="I3" s="3" t="s">
        <v>60</v>
      </c>
      <c r="J3" s="3" t="s">
        <v>99</v>
      </c>
      <c r="K3" s="3" t="s">
        <v>100</v>
      </c>
      <c r="L3" s="3" t="s">
        <v>101</v>
      </c>
      <c r="M3" s="3" t="s">
        <v>102</v>
      </c>
      <c r="N3" s="3">
        <v>3500000</v>
      </c>
      <c r="O3" s="3">
        <v>5500000</v>
      </c>
      <c r="P3" s="3" t="s">
        <v>103</v>
      </c>
      <c r="Q3" s="3" t="s">
        <v>104</v>
      </c>
      <c r="R3" s="3" t="s">
        <v>105</v>
      </c>
      <c r="S3" s="3" t="s">
        <v>106</v>
      </c>
      <c r="T3" s="3" t="s">
        <v>69</v>
      </c>
      <c r="U3" s="3" t="s">
        <v>98</v>
      </c>
      <c r="V3" s="3" t="s">
        <v>107</v>
      </c>
      <c r="W3" s="3">
        <v>4500000</v>
      </c>
      <c r="X3" s="3" t="s">
        <v>60</v>
      </c>
      <c r="Y3" s="3" t="s">
        <v>108</v>
      </c>
      <c r="Z3" s="3" t="s">
        <v>109</v>
      </c>
      <c r="AA3" s="3" t="s">
        <v>110</v>
      </c>
      <c r="AB3" s="3" t="s">
        <v>93</v>
      </c>
      <c r="AC3" s="3" t="s">
        <v>74</v>
      </c>
      <c r="AD3" s="3" t="s">
        <v>111</v>
      </c>
      <c r="AE3" s="3" t="s">
        <v>76</v>
      </c>
      <c r="AF3" s="3" t="s">
        <v>77</v>
      </c>
      <c r="AG3" s="3" t="s">
        <v>78</v>
      </c>
      <c r="AH3" s="3" t="s">
        <v>79</v>
      </c>
      <c r="AI3" s="3" t="s">
        <v>80</v>
      </c>
      <c r="AJ3" s="3" t="str">
        <f t="shared" si="0"/>
        <v>LBR013</v>
      </c>
      <c r="AK3" s="7">
        <f t="shared" si="1"/>
        <v>45767</v>
      </c>
      <c r="AL3" s="3">
        <f t="shared" si="2"/>
        <v>2</v>
      </c>
      <c r="AM3" s="3" t="str">
        <f t="shared" si="3"/>
        <v>Persiapan penggajian</v>
      </c>
      <c r="AN3" s="3" t="str">
        <f t="shared" si="4"/>
        <v>Pending</v>
      </c>
      <c r="AO3" s="3">
        <f t="shared" si="5"/>
        <v>22500</v>
      </c>
      <c r="AP3" s="3" t="s">
        <v>112</v>
      </c>
      <c r="AQ3" s="3" t="s">
        <v>82</v>
      </c>
      <c r="AR3" s="3">
        <v>2025</v>
      </c>
      <c r="AS3" s="3">
        <v>1200000</v>
      </c>
      <c r="AT3" s="3">
        <v>600000</v>
      </c>
      <c r="AU3" s="3">
        <v>0</v>
      </c>
      <c r="AV3" s="3">
        <v>5100000</v>
      </c>
      <c r="AW3" s="3" t="s">
        <v>84</v>
      </c>
      <c r="AX3" s="3" t="s">
        <v>85</v>
      </c>
      <c r="AY3" s="3" t="s">
        <v>656</v>
      </c>
      <c r="AZ3" s="3" t="s">
        <v>593</v>
      </c>
      <c r="BA3" s="3" t="str">
        <f>"600000,1000000"</f>
        <v>600000,1000000</v>
      </c>
      <c r="BB3" s="3" t="e">
        <f t="shared" ref="BB3:BB31" si="6">_xlfn.IFS(
AZ3="Tunjangan Jabatan","Sesuai jabatan",
AZ3="Tunjangan Makan","Biaya makan",
AZ3="Tunjangan Transportasi","Biaya transport",
AZ3="Tunjangan Kesehatan","Biaya kesehatan"
)</f>
        <v>#N/A</v>
      </c>
      <c r="BC3" s="3" t="s">
        <v>115</v>
      </c>
      <c r="BD3" s="3" t="s">
        <v>116</v>
      </c>
      <c r="BE3" s="3">
        <v>200000</v>
      </c>
      <c r="BF3" s="3" t="s">
        <v>117</v>
      </c>
    </row>
    <row r="4" spans="1:58" x14ac:dyDescent="0.25">
      <c r="A4" s="3" t="s">
        <v>118</v>
      </c>
      <c r="B4" s="3" t="s">
        <v>119</v>
      </c>
      <c r="C4" s="3" t="s">
        <v>120</v>
      </c>
      <c r="D4" s="3" t="s">
        <v>121</v>
      </c>
      <c r="E4" s="3" t="s">
        <v>56</v>
      </c>
      <c r="F4" s="3" t="s">
        <v>122</v>
      </c>
      <c r="G4" s="3" t="s">
        <v>123</v>
      </c>
      <c r="H4" s="3" t="s">
        <v>124</v>
      </c>
      <c r="I4" s="3" t="s">
        <v>60</v>
      </c>
      <c r="J4" s="3" t="s">
        <v>125</v>
      </c>
      <c r="K4" s="3" t="s">
        <v>126</v>
      </c>
      <c r="L4" s="3" t="s">
        <v>127</v>
      </c>
      <c r="M4" s="3" t="s">
        <v>128</v>
      </c>
      <c r="N4" s="3">
        <v>5500000</v>
      </c>
      <c r="O4" s="3">
        <v>9000000</v>
      </c>
      <c r="P4" s="3" t="s">
        <v>129</v>
      </c>
      <c r="Q4" s="3" t="s">
        <v>130</v>
      </c>
      <c r="R4" s="3" t="s">
        <v>131</v>
      </c>
      <c r="S4" s="3" t="s">
        <v>132</v>
      </c>
      <c r="T4" s="3" t="s">
        <v>133</v>
      </c>
      <c r="U4" s="3" t="s">
        <v>124</v>
      </c>
      <c r="V4" s="3" t="s">
        <v>134</v>
      </c>
      <c r="W4" s="3">
        <v>6000000</v>
      </c>
      <c r="X4" s="3" t="s">
        <v>60</v>
      </c>
      <c r="Y4" s="3" t="s">
        <v>135</v>
      </c>
      <c r="Z4" s="3" t="s">
        <v>136</v>
      </c>
      <c r="AA4" s="3" t="s">
        <v>137</v>
      </c>
      <c r="AB4" s="3" t="s">
        <v>120</v>
      </c>
      <c r="AC4" s="3" t="s">
        <v>74</v>
      </c>
      <c r="AD4" s="3" t="s">
        <v>138</v>
      </c>
      <c r="AE4" s="3" t="s">
        <v>76</v>
      </c>
      <c r="AF4" s="3" t="s">
        <v>77</v>
      </c>
      <c r="AG4" s="3" t="s">
        <v>78</v>
      </c>
      <c r="AH4" s="3" t="s">
        <v>79</v>
      </c>
      <c r="AI4" s="3" t="s">
        <v>80</v>
      </c>
      <c r="AJ4" s="3" t="str">
        <f t="shared" si="0"/>
        <v>LBR002</v>
      </c>
      <c r="AK4" s="7">
        <f t="shared" si="1"/>
        <v>45756</v>
      </c>
      <c r="AL4" s="3">
        <f t="shared" si="2"/>
        <v>2</v>
      </c>
      <c r="AM4" s="3" t="str">
        <f t="shared" si="3"/>
        <v>Deploy sistem baru</v>
      </c>
      <c r="AN4" s="3" t="str">
        <f t="shared" si="4"/>
        <v>Approved</v>
      </c>
      <c r="AO4" s="3">
        <f t="shared" si="5"/>
        <v>27500</v>
      </c>
      <c r="AP4" s="3" t="s">
        <v>139</v>
      </c>
      <c r="AQ4" s="3" t="s">
        <v>82</v>
      </c>
      <c r="AR4" s="3" t="s">
        <v>83</v>
      </c>
      <c r="AS4" s="3">
        <v>1500000</v>
      </c>
      <c r="AT4" s="3">
        <v>780000</v>
      </c>
      <c r="AU4" s="3">
        <v>55000</v>
      </c>
      <c r="AV4" s="3">
        <v>6775000</v>
      </c>
      <c r="AW4" s="3" t="s">
        <v>84</v>
      </c>
      <c r="AX4" s="3" t="s">
        <v>85</v>
      </c>
      <c r="AY4" s="3" t="s">
        <v>140</v>
      </c>
      <c r="AZ4" s="3" t="s">
        <v>141</v>
      </c>
      <c r="BA4" s="3">
        <v>400000</v>
      </c>
      <c r="BB4" s="3" t="str">
        <f t="shared" si="6"/>
        <v>Biaya transport</v>
      </c>
      <c r="BC4" s="3" t="s">
        <v>142</v>
      </c>
      <c r="BD4" s="3" t="s">
        <v>143</v>
      </c>
      <c r="BE4" s="3">
        <v>800000</v>
      </c>
      <c r="BF4" s="3" t="s">
        <v>144</v>
      </c>
    </row>
    <row r="5" spans="1:58" x14ac:dyDescent="0.25">
      <c r="A5" s="3" t="s">
        <v>145</v>
      </c>
      <c r="B5" s="3" t="s">
        <v>146</v>
      </c>
      <c r="C5" s="3" t="s">
        <v>147</v>
      </c>
      <c r="D5" s="3" t="s">
        <v>148</v>
      </c>
      <c r="E5" s="3" t="s">
        <v>95</v>
      </c>
      <c r="F5" s="3" t="s">
        <v>149</v>
      </c>
      <c r="G5" s="3" t="s">
        <v>150</v>
      </c>
      <c r="H5" s="3" t="s">
        <v>151</v>
      </c>
      <c r="I5" s="3" t="s">
        <v>60</v>
      </c>
      <c r="J5" s="3" t="s">
        <v>152</v>
      </c>
      <c r="K5" s="3" t="s">
        <v>153</v>
      </c>
      <c r="L5" s="3" t="s">
        <v>154</v>
      </c>
      <c r="M5" s="3" t="s">
        <v>128</v>
      </c>
      <c r="N5" s="3">
        <v>5000000</v>
      </c>
      <c r="O5" s="3">
        <v>8000000</v>
      </c>
      <c r="P5" s="3" t="s">
        <v>155</v>
      </c>
      <c r="Q5" s="3" t="s">
        <v>156</v>
      </c>
      <c r="R5" s="3" t="s">
        <v>157</v>
      </c>
      <c r="S5" s="3" t="s">
        <v>158</v>
      </c>
      <c r="T5" s="3" t="s">
        <v>69</v>
      </c>
      <c r="U5" s="3" t="s">
        <v>151</v>
      </c>
      <c r="V5" s="3" t="s">
        <v>159</v>
      </c>
      <c r="W5" s="3">
        <v>6500000</v>
      </c>
      <c r="X5" s="3" t="s">
        <v>60</v>
      </c>
      <c r="Y5" s="3" t="s">
        <v>160</v>
      </c>
      <c r="Z5" s="3" t="s">
        <v>161</v>
      </c>
      <c r="AA5" s="3" t="s">
        <v>162</v>
      </c>
      <c r="AB5" s="3" t="s">
        <v>147</v>
      </c>
      <c r="AC5" s="3" t="s">
        <v>74</v>
      </c>
      <c r="AD5" s="3" t="s">
        <v>163</v>
      </c>
      <c r="AE5" s="3" t="s">
        <v>76</v>
      </c>
      <c r="AF5" s="3" t="s">
        <v>77</v>
      </c>
      <c r="AG5" s="3" t="s">
        <v>78</v>
      </c>
      <c r="AH5" s="3" t="s">
        <v>79</v>
      </c>
      <c r="AI5" s="3" t="s">
        <v>80</v>
      </c>
      <c r="AJ5" s="3" t="str">
        <f t="shared" si="0"/>
        <v>LBR003</v>
      </c>
      <c r="AK5" s="7">
        <f t="shared" si="1"/>
        <v>45757</v>
      </c>
      <c r="AL5" s="3">
        <f t="shared" si="2"/>
        <v>4</v>
      </c>
      <c r="AM5" s="3" t="str">
        <f t="shared" si="3"/>
        <v>Event pemasaran</v>
      </c>
      <c r="AN5" s="3" t="str">
        <f t="shared" si="4"/>
        <v>Approved</v>
      </c>
      <c r="AO5" s="3">
        <f t="shared" si="5"/>
        <v>22000</v>
      </c>
      <c r="AP5" s="3" t="s">
        <v>164</v>
      </c>
      <c r="AQ5" s="3" t="s">
        <v>82</v>
      </c>
      <c r="AR5" s="3" t="s">
        <v>83</v>
      </c>
      <c r="AS5" s="3">
        <v>1700000</v>
      </c>
      <c r="AT5" s="3">
        <v>850000</v>
      </c>
      <c r="AU5" s="3">
        <v>88000</v>
      </c>
      <c r="AV5" s="3">
        <v>7438000</v>
      </c>
      <c r="AW5" s="3" t="s">
        <v>84</v>
      </c>
      <c r="AX5" s="3" t="s">
        <v>85</v>
      </c>
      <c r="AY5" s="3" t="s">
        <v>165</v>
      </c>
      <c r="AZ5" s="3" t="s">
        <v>114</v>
      </c>
      <c r="BA5" s="3">
        <v>600000</v>
      </c>
      <c r="BB5" s="3" t="str">
        <f t="shared" si="6"/>
        <v>Biaya makan</v>
      </c>
      <c r="BC5" s="3" t="s">
        <v>166</v>
      </c>
      <c r="BD5" s="3" t="s">
        <v>89</v>
      </c>
      <c r="BE5" s="3">
        <v>112500</v>
      </c>
      <c r="BF5" s="3" t="s">
        <v>90</v>
      </c>
    </row>
    <row r="6" spans="1:58" x14ac:dyDescent="0.25">
      <c r="A6" s="3" t="s">
        <v>167</v>
      </c>
      <c r="B6" s="3" t="s">
        <v>168</v>
      </c>
      <c r="C6" s="3" t="s">
        <v>169</v>
      </c>
      <c r="D6" s="3" t="s">
        <v>170</v>
      </c>
      <c r="E6" s="3" t="s">
        <v>56</v>
      </c>
      <c r="F6" s="3" t="s">
        <v>171</v>
      </c>
      <c r="G6" s="3" t="s">
        <v>172</v>
      </c>
      <c r="H6" s="3" t="s">
        <v>173</v>
      </c>
      <c r="I6" s="3" t="s">
        <v>60</v>
      </c>
      <c r="J6" s="3" t="s">
        <v>174</v>
      </c>
      <c r="K6" s="3" t="s">
        <v>175</v>
      </c>
      <c r="L6" s="3" t="s">
        <v>176</v>
      </c>
      <c r="M6" s="3" t="s">
        <v>177</v>
      </c>
      <c r="N6" s="3">
        <v>2500000</v>
      </c>
      <c r="O6" s="3">
        <v>3500000</v>
      </c>
      <c r="P6" s="3" t="s">
        <v>178</v>
      </c>
      <c r="Q6" s="3" t="s">
        <v>179</v>
      </c>
      <c r="R6" s="3" t="s">
        <v>180</v>
      </c>
      <c r="S6" s="3" t="s">
        <v>181</v>
      </c>
      <c r="T6" s="3" t="s">
        <v>133</v>
      </c>
      <c r="U6" s="3" t="s">
        <v>173</v>
      </c>
      <c r="V6" s="3" t="s">
        <v>182</v>
      </c>
      <c r="W6" s="3">
        <v>2800000</v>
      </c>
      <c r="X6" s="3" t="s">
        <v>60</v>
      </c>
      <c r="Y6" s="3" t="s">
        <v>183</v>
      </c>
      <c r="Z6" s="3" t="s">
        <v>72</v>
      </c>
      <c r="AA6" s="3" t="s">
        <v>184</v>
      </c>
      <c r="AB6" s="3" t="s">
        <v>169</v>
      </c>
      <c r="AC6" s="3" t="s">
        <v>185</v>
      </c>
      <c r="AD6" s="3" t="s">
        <v>186</v>
      </c>
      <c r="AE6" s="3" t="s">
        <v>76</v>
      </c>
      <c r="AF6" s="3" t="s">
        <v>77</v>
      </c>
      <c r="AG6" s="3" t="s">
        <v>78</v>
      </c>
      <c r="AH6" s="3" t="s">
        <v>79</v>
      </c>
      <c r="AI6" s="3" t="s">
        <v>80</v>
      </c>
      <c r="AJ6" s="3" t="str">
        <f t="shared" si="0"/>
        <v>-</v>
      </c>
      <c r="AK6" s="7" t="str">
        <f t="shared" si="1"/>
        <v>-</v>
      </c>
      <c r="AL6" s="3" t="str">
        <f t="shared" si="2"/>
        <v>-</v>
      </c>
      <c r="AM6" s="3" t="str">
        <f t="shared" si="3"/>
        <v>-</v>
      </c>
      <c r="AN6" s="3" t="str">
        <f t="shared" si="4"/>
        <v>-</v>
      </c>
      <c r="AO6" s="3" t="str">
        <f t="shared" si="5"/>
        <v>-</v>
      </c>
      <c r="AP6" s="3" t="s">
        <v>187</v>
      </c>
      <c r="AQ6" s="3" t="s">
        <v>82</v>
      </c>
      <c r="AR6" s="3" t="s">
        <v>83</v>
      </c>
      <c r="AS6" s="3">
        <v>700000</v>
      </c>
      <c r="AT6" s="3">
        <v>364000</v>
      </c>
      <c r="AU6" s="3">
        <v>0</v>
      </c>
      <c r="AV6" s="3">
        <v>3136000</v>
      </c>
      <c r="AW6" s="3" t="s">
        <v>84</v>
      </c>
      <c r="AX6" s="3" t="s">
        <v>85</v>
      </c>
      <c r="AY6" s="3" t="s">
        <v>188</v>
      </c>
      <c r="AZ6" s="3" t="s">
        <v>141</v>
      </c>
      <c r="BA6" s="3">
        <v>400000</v>
      </c>
      <c r="BB6" s="3" t="str">
        <f t="shared" si="6"/>
        <v>Biaya transport</v>
      </c>
      <c r="BC6" s="3" t="s">
        <v>189</v>
      </c>
      <c r="BD6" s="3" t="s">
        <v>116</v>
      </c>
      <c r="BE6" s="3">
        <v>90000</v>
      </c>
      <c r="BF6" s="3" t="s">
        <v>117</v>
      </c>
    </row>
    <row r="7" spans="1:58" x14ac:dyDescent="0.25">
      <c r="A7" s="3" t="s">
        <v>190</v>
      </c>
      <c r="B7" s="3" t="s">
        <v>191</v>
      </c>
      <c r="C7" s="3" t="s">
        <v>192</v>
      </c>
      <c r="D7" s="3" t="s">
        <v>193</v>
      </c>
      <c r="E7" s="3" t="s">
        <v>95</v>
      </c>
      <c r="F7" s="3" t="s">
        <v>194</v>
      </c>
      <c r="G7" s="3" t="s">
        <v>195</v>
      </c>
      <c r="H7" s="3" t="s">
        <v>196</v>
      </c>
      <c r="I7" s="3" t="s">
        <v>60</v>
      </c>
      <c r="J7" s="3" t="s">
        <v>61</v>
      </c>
      <c r="K7" s="3" t="s">
        <v>153</v>
      </c>
      <c r="L7" s="3" t="s">
        <v>154</v>
      </c>
      <c r="M7" s="3" t="s">
        <v>128</v>
      </c>
      <c r="N7" s="3">
        <v>5000000</v>
      </c>
      <c r="O7" s="3">
        <v>8000000</v>
      </c>
      <c r="P7" s="3" t="s">
        <v>65</v>
      </c>
      <c r="Q7" s="3" t="s">
        <v>66</v>
      </c>
      <c r="R7" s="3" t="s">
        <v>67</v>
      </c>
      <c r="S7" s="3" t="s">
        <v>197</v>
      </c>
      <c r="T7" s="3" t="s">
        <v>69</v>
      </c>
      <c r="U7" s="3" t="s">
        <v>196</v>
      </c>
      <c r="V7" s="3" t="s">
        <v>198</v>
      </c>
      <c r="W7" s="3">
        <v>5500000</v>
      </c>
      <c r="X7" s="3" t="s">
        <v>60</v>
      </c>
      <c r="Y7" s="3" t="s">
        <v>199</v>
      </c>
      <c r="Z7" s="3" t="s">
        <v>200</v>
      </c>
      <c r="AA7" s="3" t="s">
        <v>201</v>
      </c>
      <c r="AB7" s="3" t="s">
        <v>192</v>
      </c>
      <c r="AC7" s="3" t="s">
        <v>74</v>
      </c>
      <c r="AD7" s="3" t="s">
        <v>202</v>
      </c>
      <c r="AE7" s="3" t="s">
        <v>76</v>
      </c>
      <c r="AF7" s="3" t="s">
        <v>77</v>
      </c>
      <c r="AG7" s="3" t="s">
        <v>78</v>
      </c>
      <c r="AH7" s="3" t="s">
        <v>79</v>
      </c>
      <c r="AI7" s="3" t="s">
        <v>80</v>
      </c>
      <c r="AJ7" s="3" t="str">
        <f t="shared" si="0"/>
        <v>LBR004</v>
      </c>
      <c r="AK7" s="7">
        <f t="shared" si="1"/>
        <v>45758</v>
      </c>
      <c r="AL7" s="3">
        <f t="shared" si="2"/>
        <v>2</v>
      </c>
      <c r="AM7" s="3" t="str">
        <f t="shared" si="3"/>
        <v>Rekrutmen karyawan</v>
      </c>
      <c r="AN7" s="3" t="str">
        <f t="shared" si="4"/>
        <v>Approved</v>
      </c>
      <c r="AO7" s="3">
        <f t="shared" si="5"/>
        <v>22000</v>
      </c>
      <c r="AP7" s="3" t="s">
        <v>203</v>
      </c>
      <c r="AQ7" s="3" t="s">
        <v>82</v>
      </c>
      <c r="AR7" s="3" t="s">
        <v>83</v>
      </c>
      <c r="AS7" s="3">
        <v>1400000</v>
      </c>
      <c r="AT7" s="3">
        <v>715000</v>
      </c>
      <c r="AU7" s="3">
        <v>44000</v>
      </c>
      <c r="AV7" s="3">
        <v>6229000</v>
      </c>
      <c r="AW7" s="3" t="s">
        <v>84</v>
      </c>
      <c r="AX7" s="3" t="s">
        <v>85</v>
      </c>
      <c r="AY7" s="3" t="s">
        <v>204</v>
      </c>
      <c r="AZ7" s="3" t="s">
        <v>205</v>
      </c>
      <c r="BA7" s="3">
        <v>200000</v>
      </c>
      <c r="BB7" s="3" t="str">
        <f t="shared" si="6"/>
        <v>Biaya kesehatan</v>
      </c>
      <c r="BC7" s="3" t="s">
        <v>206</v>
      </c>
      <c r="BD7" s="3" t="s">
        <v>143</v>
      </c>
      <c r="BE7" s="3">
        <v>397500</v>
      </c>
      <c r="BF7" s="3" t="s">
        <v>144</v>
      </c>
    </row>
    <row r="8" spans="1:58" x14ac:dyDescent="0.25">
      <c r="A8" s="3" t="s">
        <v>207</v>
      </c>
      <c r="B8" s="3" t="s">
        <v>208</v>
      </c>
      <c r="C8" s="3" t="s">
        <v>209</v>
      </c>
      <c r="D8" s="3" t="s">
        <v>210</v>
      </c>
      <c r="E8" s="3" t="s">
        <v>56</v>
      </c>
      <c r="F8" s="3" t="s">
        <v>211</v>
      </c>
      <c r="G8" s="3" t="s">
        <v>212</v>
      </c>
      <c r="H8" s="3" t="s">
        <v>213</v>
      </c>
      <c r="I8" s="3" t="s">
        <v>60</v>
      </c>
      <c r="J8" s="3" t="s">
        <v>125</v>
      </c>
      <c r="K8" s="3" t="s">
        <v>175</v>
      </c>
      <c r="L8" s="3" t="s">
        <v>176</v>
      </c>
      <c r="M8" s="3" t="s">
        <v>177</v>
      </c>
      <c r="N8" s="3">
        <v>2500000</v>
      </c>
      <c r="O8" s="3">
        <v>3500000</v>
      </c>
      <c r="P8" s="3" t="s">
        <v>129</v>
      </c>
      <c r="Q8" s="3" t="s">
        <v>130</v>
      </c>
      <c r="R8" s="3" t="s">
        <v>131</v>
      </c>
      <c r="S8" s="3" t="s">
        <v>214</v>
      </c>
      <c r="T8" s="3" t="s">
        <v>133</v>
      </c>
      <c r="U8" s="3" t="s">
        <v>213</v>
      </c>
      <c r="V8" s="3" t="s">
        <v>215</v>
      </c>
      <c r="W8" s="3">
        <v>2800000</v>
      </c>
      <c r="X8" s="3" t="s">
        <v>60</v>
      </c>
      <c r="Y8" s="3" t="s">
        <v>216</v>
      </c>
      <c r="Z8" s="3" t="s">
        <v>109</v>
      </c>
      <c r="AA8" s="3" t="s">
        <v>217</v>
      </c>
      <c r="AB8" s="3" t="s">
        <v>209</v>
      </c>
      <c r="AC8" s="3" t="s">
        <v>218</v>
      </c>
      <c r="AD8" s="3" t="s">
        <v>219</v>
      </c>
      <c r="AE8" s="3" t="s">
        <v>76</v>
      </c>
      <c r="AF8" s="3" t="s">
        <v>80</v>
      </c>
      <c r="AG8" s="3" t="s">
        <v>80</v>
      </c>
      <c r="AH8" s="3" t="s">
        <v>220</v>
      </c>
      <c r="AI8" s="3" t="s">
        <v>221</v>
      </c>
      <c r="AJ8" s="3" t="str">
        <f t="shared" si="0"/>
        <v>LBR014</v>
      </c>
      <c r="AK8" s="7">
        <f t="shared" si="1"/>
        <v>45769</v>
      </c>
      <c r="AL8" s="3">
        <f t="shared" si="2"/>
        <v>3</v>
      </c>
      <c r="AM8" s="3" t="str">
        <f t="shared" si="3"/>
        <v>Testing aplikasi</v>
      </c>
      <c r="AN8" s="3" t="str">
        <f t="shared" si="4"/>
        <v>Pending</v>
      </c>
      <c r="AO8" s="3">
        <f t="shared" si="5"/>
        <v>20000</v>
      </c>
      <c r="AP8" s="3" t="s">
        <v>222</v>
      </c>
      <c r="AQ8" s="3" t="s">
        <v>82</v>
      </c>
      <c r="AR8" s="3" t="s">
        <v>83</v>
      </c>
      <c r="AS8" s="3">
        <v>700000</v>
      </c>
      <c r="AT8" s="3">
        <v>364000</v>
      </c>
      <c r="AU8" s="3">
        <v>60000</v>
      </c>
      <c r="AV8" s="3">
        <v>3196000</v>
      </c>
      <c r="AW8" s="3" t="s">
        <v>84</v>
      </c>
      <c r="AX8" s="3" t="s">
        <v>85</v>
      </c>
      <c r="AY8" s="3" t="s">
        <v>223</v>
      </c>
      <c r="AZ8" s="3" t="s">
        <v>87</v>
      </c>
      <c r="BA8" s="3">
        <v>700000</v>
      </c>
      <c r="BB8" s="3" t="str">
        <f t="shared" si="6"/>
        <v>Sesuai jabatan</v>
      </c>
      <c r="BC8" s="3" t="s">
        <v>224</v>
      </c>
      <c r="BD8" s="3" t="s">
        <v>89</v>
      </c>
      <c r="BE8" s="3">
        <v>150000</v>
      </c>
      <c r="BF8" s="3" t="s">
        <v>90</v>
      </c>
    </row>
    <row r="9" spans="1:58" x14ac:dyDescent="0.25">
      <c r="A9" s="3" t="s">
        <v>225</v>
      </c>
      <c r="B9" s="3" t="s">
        <v>226</v>
      </c>
      <c r="C9" s="3" t="s">
        <v>227</v>
      </c>
      <c r="D9" s="3" t="s">
        <v>228</v>
      </c>
      <c r="E9" s="3" t="s">
        <v>95</v>
      </c>
      <c r="F9" s="3" t="s">
        <v>229</v>
      </c>
      <c r="G9" s="3" t="s">
        <v>230</v>
      </c>
      <c r="H9" s="3" t="s">
        <v>231</v>
      </c>
      <c r="I9" s="3" t="s">
        <v>60</v>
      </c>
      <c r="J9" s="3" t="s">
        <v>99</v>
      </c>
      <c r="K9" s="3" t="s">
        <v>153</v>
      </c>
      <c r="L9" s="3" t="s">
        <v>154</v>
      </c>
      <c r="M9" s="3" t="s">
        <v>128</v>
      </c>
      <c r="N9" s="3">
        <v>5000000</v>
      </c>
      <c r="O9" s="3">
        <v>8000000</v>
      </c>
      <c r="P9" s="3" t="s">
        <v>103</v>
      </c>
      <c r="Q9" s="3" t="s">
        <v>104</v>
      </c>
      <c r="R9" s="3" t="s">
        <v>105</v>
      </c>
      <c r="S9" s="3" t="s">
        <v>232</v>
      </c>
      <c r="T9" s="3" t="s">
        <v>69</v>
      </c>
      <c r="U9" s="3" t="s">
        <v>231</v>
      </c>
      <c r="V9" s="3" t="s">
        <v>233</v>
      </c>
      <c r="W9" s="3">
        <v>5800000</v>
      </c>
      <c r="X9" s="3" t="s">
        <v>60</v>
      </c>
      <c r="Y9" s="3" t="s">
        <v>234</v>
      </c>
      <c r="Z9" s="3" t="s">
        <v>72</v>
      </c>
      <c r="AA9" s="3" t="s">
        <v>235</v>
      </c>
      <c r="AB9" s="3" t="s">
        <v>227</v>
      </c>
      <c r="AC9" s="3" t="s">
        <v>185</v>
      </c>
      <c r="AD9" s="3" t="s">
        <v>236</v>
      </c>
      <c r="AE9" s="3" t="s">
        <v>76</v>
      </c>
      <c r="AF9" s="3" t="s">
        <v>77</v>
      </c>
      <c r="AG9" s="3" t="s">
        <v>78</v>
      </c>
      <c r="AH9" s="3" t="s">
        <v>79</v>
      </c>
      <c r="AI9" s="3" t="s">
        <v>80</v>
      </c>
      <c r="AJ9" s="3" t="str">
        <f t="shared" si="0"/>
        <v>LBR005</v>
      </c>
      <c r="AK9" s="7">
        <f t="shared" si="1"/>
        <v>45759</v>
      </c>
      <c r="AL9" s="3">
        <f t="shared" si="2"/>
        <v>3</v>
      </c>
      <c r="AM9" s="3" t="str">
        <f t="shared" si="3"/>
        <v>Audit keuangan</v>
      </c>
      <c r="AN9" s="3" t="str">
        <f t="shared" si="4"/>
        <v>Approved</v>
      </c>
      <c r="AO9" s="3">
        <f t="shared" si="5"/>
        <v>23000</v>
      </c>
      <c r="AP9" s="3" t="s">
        <v>237</v>
      </c>
      <c r="AQ9" s="3" t="s">
        <v>82</v>
      </c>
      <c r="AR9" s="3" t="s">
        <v>83</v>
      </c>
      <c r="AS9" s="3">
        <v>1500000</v>
      </c>
      <c r="AT9" s="3">
        <v>754000</v>
      </c>
      <c r="AU9" s="3">
        <v>69000</v>
      </c>
      <c r="AV9" s="3">
        <v>6615000</v>
      </c>
      <c r="AW9" s="3" t="s">
        <v>84</v>
      </c>
      <c r="AX9" s="3" t="s">
        <v>85</v>
      </c>
      <c r="AY9" s="3" t="s">
        <v>238</v>
      </c>
      <c r="AZ9" s="3" t="s">
        <v>114</v>
      </c>
      <c r="BA9" s="3">
        <v>500000</v>
      </c>
      <c r="BB9" s="3" t="str">
        <f t="shared" si="6"/>
        <v>Biaya makan</v>
      </c>
      <c r="BC9" s="3" t="s">
        <v>239</v>
      </c>
      <c r="BD9" s="3" t="s">
        <v>116</v>
      </c>
      <c r="BE9" s="3">
        <v>120000</v>
      </c>
      <c r="BF9" s="3" t="s">
        <v>117</v>
      </c>
    </row>
    <row r="10" spans="1:58" x14ac:dyDescent="0.25">
      <c r="A10" s="3" t="s">
        <v>240</v>
      </c>
      <c r="B10" s="3" t="s">
        <v>241</v>
      </c>
      <c r="C10" s="3" t="s">
        <v>242</v>
      </c>
      <c r="D10" s="3" t="s">
        <v>243</v>
      </c>
      <c r="E10" s="3" t="s">
        <v>56</v>
      </c>
      <c r="F10" s="3" t="s">
        <v>244</v>
      </c>
      <c r="G10" s="3" t="s">
        <v>245</v>
      </c>
      <c r="H10" s="3" t="s">
        <v>246</v>
      </c>
      <c r="I10" s="3" t="s">
        <v>60</v>
      </c>
      <c r="J10" s="3" t="s">
        <v>125</v>
      </c>
      <c r="K10" s="3" t="s">
        <v>247</v>
      </c>
      <c r="L10" s="3" t="s">
        <v>248</v>
      </c>
      <c r="M10" s="3" t="s">
        <v>128</v>
      </c>
      <c r="N10" s="3">
        <v>5000000</v>
      </c>
      <c r="O10" s="3">
        <v>8500000</v>
      </c>
      <c r="P10" s="3" t="s">
        <v>129</v>
      </c>
      <c r="Q10" s="3" t="s">
        <v>130</v>
      </c>
      <c r="R10" s="3" t="s">
        <v>131</v>
      </c>
      <c r="S10" s="3" t="s">
        <v>249</v>
      </c>
      <c r="T10" s="3" t="s">
        <v>133</v>
      </c>
      <c r="U10" s="3" t="s">
        <v>246</v>
      </c>
      <c r="V10" s="3" t="s">
        <v>250</v>
      </c>
      <c r="W10" s="3">
        <v>5500000</v>
      </c>
      <c r="X10" s="3" t="s">
        <v>60</v>
      </c>
      <c r="Y10" s="3" t="s">
        <v>251</v>
      </c>
      <c r="Z10" s="3" t="s">
        <v>136</v>
      </c>
      <c r="AA10" s="3" t="s">
        <v>252</v>
      </c>
      <c r="AB10" s="3" t="s">
        <v>242</v>
      </c>
      <c r="AC10" s="3" t="s">
        <v>74</v>
      </c>
      <c r="AD10" s="3" t="s">
        <v>253</v>
      </c>
      <c r="AE10" s="3" t="s">
        <v>76</v>
      </c>
      <c r="AF10" s="3" t="s">
        <v>77</v>
      </c>
      <c r="AG10" s="3" t="s">
        <v>78</v>
      </c>
      <c r="AH10" s="3" t="s">
        <v>79</v>
      </c>
      <c r="AI10" s="3" t="s">
        <v>80</v>
      </c>
      <c r="AJ10" s="3" t="str">
        <f t="shared" si="0"/>
        <v>LBR006</v>
      </c>
      <c r="AK10" s="7">
        <f t="shared" si="1"/>
        <v>45760</v>
      </c>
      <c r="AL10" s="3">
        <f t="shared" si="2"/>
        <v>5</v>
      </c>
      <c r="AM10" s="3" t="str">
        <f t="shared" si="3"/>
        <v>Maintenance server</v>
      </c>
      <c r="AN10" s="3" t="str">
        <f t="shared" si="4"/>
        <v>Approved</v>
      </c>
      <c r="AO10" s="3">
        <f t="shared" si="5"/>
        <v>27500</v>
      </c>
      <c r="AP10" s="3" t="s">
        <v>254</v>
      </c>
      <c r="AQ10" s="3" t="s">
        <v>82</v>
      </c>
      <c r="AR10" s="3" t="s">
        <v>83</v>
      </c>
      <c r="AS10" s="3">
        <v>1400000</v>
      </c>
      <c r="AT10" s="3">
        <v>715000</v>
      </c>
      <c r="AU10" s="3">
        <v>137500</v>
      </c>
      <c r="AV10" s="3">
        <v>6322500</v>
      </c>
      <c r="AW10" s="3" t="s">
        <v>84</v>
      </c>
      <c r="AX10" s="3" t="s">
        <v>85</v>
      </c>
      <c r="AY10" s="3" t="s">
        <v>255</v>
      </c>
      <c r="AZ10" s="3" t="s">
        <v>141</v>
      </c>
      <c r="BA10" s="3">
        <v>300000</v>
      </c>
      <c r="BB10" s="3" t="str">
        <f t="shared" si="6"/>
        <v>Biaya transport</v>
      </c>
      <c r="BC10" s="3" t="s">
        <v>256</v>
      </c>
      <c r="BD10" s="3" t="s">
        <v>143</v>
      </c>
      <c r="BE10" s="3">
        <v>510000</v>
      </c>
      <c r="BF10" s="3" t="s">
        <v>144</v>
      </c>
    </row>
    <row r="11" spans="1:58" x14ac:dyDescent="0.25">
      <c r="A11" s="3" t="s">
        <v>257</v>
      </c>
      <c r="B11" s="3" t="s">
        <v>258</v>
      </c>
      <c r="C11" s="3" t="s">
        <v>259</v>
      </c>
      <c r="D11" s="3" t="s">
        <v>260</v>
      </c>
      <c r="E11" s="3" t="s">
        <v>95</v>
      </c>
      <c r="F11" s="3" t="s">
        <v>261</v>
      </c>
      <c r="G11" s="3" t="s">
        <v>262</v>
      </c>
      <c r="H11" s="3" t="s">
        <v>263</v>
      </c>
      <c r="I11" s="3" t="s">
        <v>60</v>
      </c>
      <c r="J11" s="3" t="s">
        <v>152</v>
      </c>
      <c r="K11" s="3" t="s">
        <v>100</v>
      </c>
      <c r="L11" s="3" t="s">
        <v>101</v>
      </c>
      <c r="M11" s="3" t="s">
        <v>102</v>
      </c>
      <c r="N11" s="3">
        <v>3500000</v>
      </c>
      <c r="O11" s="3">
        <v>5500000</v>
      </c>
      <c r="P11" s="3" t="s">
        <v>155</v>
      </c>
      <c r="Q11" s="3" t="s">
        <v>156</v>
      </c>
      <c r="R11" s="3" t="s">
        <v>157</v>
      </c>
      <c r="S11" s="3" t="s">
        <v>264</v>
      </c>
      <c r="T11" s="3" t="s">
        <v>69</v>
      </c>
      <c r="U11" s="3" t="s">
        <v>263</v>
      </c>
      <c r="V11" s="3" t="s">
        <v>265</v>
      </c>
      <c r="W11" s="3">
        <v>4800000</v>
      </c>
      <c r="X11" s="3" t="s">
        <v>60</v>
      </c>
      <c r="Y11" s="3" t="s">
        <v>266</v>
      </c>
      <c r="Z11" s="3" t="s">
        <v>161</v>
      </c>
      <c r="AA11" s="3" t="s">
        <v>267</v>
      </c>
      <c r="AB11" s="3" t="s">
        <v>259</v>
      </c>
      <c r="AC11" s="3" t="s">
        <v>185</v>
      </c>
      <c r="AD11" s="3" t="s">
        <v>268</v>
      </c>
      <c r="AE11" s="3" t="s">
        <v>76</v>
      </c>
      <c r="AF11" s="3" t="s">
        <v>80</v>
      </c>
      <c r="AG11" s="3" t="s">
        <v>80</v>
      </c>
      <c r="AH11" s="3" t="s">
        <v>269</v>
      </c>
      <c r="AI11" s="3" t="s">
        <v>270</v>
      </c>
      <c r="AJ11" s="3" t="str">
        <f t="shared" si="0"/>
        <v>LBR015</v>
      </c>
      <c r="AK11" s="7">
        <f t="shared" si="1"/>
        <v>45770</v>
      </c>
      <c r="AL11" s="3">
        <f t="shared" si="2"/>
        <v>2</v>
      </c>
      <c r="AM11" s="3" t="str">
        <f t="shared" si="3"/>
        <v>Analisis pasar</v>
      </c>
      <c r="AN11" s="3" t="str">
        <f t="shared" si="4"/>
        <v>Pending</v>
      </c>
      <c r="AO11" s="3">
        <f t="shared" si="5"/>
        <v>21000</v>
      </c>
      <c r="AP11" s="3" t="s">
        <v>271</v>
      </c>
      <c r="AQ11" s="3" t="s">
        <v>82</v>
      </c>
      <c r="AR11" s="3" t="s">
        <v>83</v>
      </c>
      <c r="AS11" s="3">
        <v>1200000</v>
      </c>
      <c r="AT11" s="3">
        <v>624000</v>
      </c>
      <c r="AU11" s="3">
        <v>0</v>
      </c>
      <c r="AV11" s="3">
        <v>5376000</v>
      </c>
      <c r="AW11" s="3" t="s">
        <v>84</v>
      </c>
      <c r="AX11" s="3" t="s">
        <v>85</v>
      </c>
      <c r="AY11" s="3" t="s">
        <v>272</v>
      </c>
      <c r="AZ11" s="3" t="s">
        <v>87</v>
      </c>
      <c r="BA11" s="3">
        <v>900000</v>
      </c>
      <c r="BB11" s="3" t="str">
        <f t="shared" si="6"/>
        <v>Sesuai jabatan</v>
      </c>
      <c r="BC11" s="3" t="s">
        <v>273</v>
      </c>
      <c r="BD11" s="3" t="s">
        <v>89</v>
      </c>
      <c r="BE11" s="3">
        <v>162500</v>
      </c>
      <c r="BF11" s="3" t="s">
        <v>90</v>
      </c>
    </row>
    <row r="12" spans="1:58" x14ac:dyDescent="0.25">
      <c r="A12" s="3" t="s">
        <v>274</v>
      </c>
      <c r="B12" s="3" t="s">
        <v>275</v>
      </c>
      <c r="C12" s="3" t="s">
        <v>276</v>
      </c>
      <c r="D12" s="3" t="s">
        <v>277</v>
      </c>
      <c r="E12" s="3" t="s">
        <v>56</v>
      </c>
      <c r="F12" s="3" t="s">
        <v>278</v>
      </c>
      <c r="G12" s="3" t="s">
        <v>279</v>
      </c>
      <c r="H12" s="3" t="s">
        <v>280</v>
      </c>
      <c r="I12" s="3" t="s">
        <v>60</v>
      </c>
      <c r="J12" s="3" t="s">
        <v>174</v>
      </c>
      <c r="K12" s="3" t="s">
        <v>175</v>
      </c>
      <c r="L12" s="3" t="s">
        <v>176</v>
      </c>
      <c r="M12" s="3" t="s">
        <v>177</v>
      </c>
      <c r="N12" s="3">
        <v>2500000</v>
      </c>
      <c r="O12" s="3">
        <v>3500000</v>
      </c>
      <c r="P12" s="3" t="s">
        <v>178</v>
      </c>
      <c r="Q12" s="3" t="s">
        <v>179</v>
      </c>
      <c r="R12" s="3" t="s">
        <v>180</v>
      </c>
      <c r="S12" s="3" t="s">
        <v>281</v>
      </c>
      <c r="T12" s="3" t="s">
        <v>133</v>
      </c>
      <c r="U12" s="3" t="s">
        <v>280</v>
      </c>
      <c r="V12" s="3" t="s">
        <v>182</v>
      </c>
      <c r="W12" s="3">
        <v>2800000</v>
      </c>
      <c r="X12" s="3" t="s">
        <v>60</v>
      </c>
      <c r="Y12" s="3" t="s">
        <v>282</v>
      </c>
      <c r="Z12" s="3" t="s">
        <v>109</v>
      </c>
      <c r="AA12" s="3" t="s">
        <v>283</v>
      </c>
      <c r="AB12" s="3" t="s">
        <v>276</v>
      </c>
      <c r="AC12" s="3" t="s">
        <v>74</v>
      </c>
      <c r="AD12" s="3" t="s">
        <v>284</v>
      </c>
      <c r="AE12" s="3" t="s">
        <v>76</v>
      </c>
      <c r="AF12" s="3" t="s">
        <v>77</v>
      </c>
      <c r="AG12" s="3" t="s">
        <v>78</v>
      </c>
      <c r="AH12" s="3" t="s">
        <v>79</v>
      </c>
      <c r="AI12" s="3" t="s">
        <v>80</v>
      </c>
      <c r="AJ12" s="3" t="str">
        <f t="shared" si="0"/>
        <v>-</v>
      </c>
      <c r="AK12" s="7" t="str">
        <f t="shared" si="1"/>
        <v>-</v>
      </c>
      <c r="AL12" s="3" t="str">
        <f t="shared" si="2"/>
        <v>-</v>
      </c>
      <c r="AM12" s="3" t="str">
        <f t="shared" si="3"/>
        <v>-</v>
      </c>
      <c r="AN12" s="3" t="str">
        <f t="shared" si="4"/>
        <v>-</v>
      </c>
      <c r="AO12" s="3" t="str">
        <f t="shared" si="5"/>
        <v>-</v>
      </c>
      <c r="AP12" s="3" t="s">
        <v>285</v>
      </c>
      <c r="AQ12" s="3" t="s">
        <v>82</v>
      </c>
      <c r="AR12" s="3" t="s">
        <v>83</v>
      </c>
      <c r="AS12" s="3">
        <v>700000</v>
      </c>
      <c r="AT12" s="3">
        <v>364000</v>
      </c>
      <c r="AU12" s="3">
        <v>0</v>
      </c>
      <c r="AV12" s="3">
        <v>3136000</v>
      </c>
      <c r="AW12" s="3" t="s">
        <v>84</v>
      </c>
      <c r="AX12" s="3" t="s">
        <v>85</v>
      </c>
      <c r="AY12" s="3" t="s">
        <v>286</v>
      </c>
      <c r="AZ12" s="3" t="s">
        <v>114</v>
      </c>
      <c r="BA12" s="3">
        <v>500000</v>
      </c>
      <c r="BB12" s="3" t="str">
        <f t="shared" si="6"/>
        <v>Biaya makan</v>
      </c>
      <c r="BC12" s="3" t="s">
        <v>287</v>
      </c>
      <c r="BD12" s="3" t="s">
        <v>116</v>
      </c>
      <c r="BE12" s="3">
        <v>130000</v>
      </c>
      <c r="BF12" s="3" t="s">
        <v>117</v>
      </c>
    </row>
    <row r="13" spans="1:58" x14ac:dyDescent="0.25">
      <c r="A13" s="3" t="s">
        <v>288</v>
      </c>
      <c r="B13" s="3" t="s">
        <v>289</v>
      </c>
      <c r="C13" s="3" t="s">
        <v>290</v>
      </c>
      <c r="D13" s="3" t="s">
        <v>291</v>
      </c>
      <c r="E13" s="3" t="s">
        <v>95</v>
      </c>
      <c r="F13" s="3" t="s">
        <v>292</v>
      </c>
      <c r="G13" s="3" t="s">
        <v>293</v>
      </c>
      <c r="H13" s="3" t="s">
        <v>294</v>
      </c>
      <c r="I13" s="3" t="s">
        <v>60</v>
      </c>
      <c r="J13" s="3" t="s">
        <v>61</v>
      </c>
      <c r="K13" s="3" t="s">
        <v>62</v>
      </c>
      <c r="L13" s="3" t="s">
        <v>63</v>
      </c>
      <c r="M13" s="3" t="s">
        <v>64</v>
      </c>
      <c r="N13" s="3">
        <v>8000000</v>
      </c>
      <c r="O13" s="3">
        <v>15000000</v>
      </c>
      <c r="P13" s="3" t="s">
        <v>65</v>
      </c>
      <c r="Q13" s="3" t="s">
        <v>66</v>
      </c>
      <c r="R13" s="3" t="s">
        <v>67</v>
      </c>
      <c r="S13" s="3" t="s">
        <v>295</v>
      </c>
      <c r="T13" s="3" t="s">
        <v>69</v>
      </c>
      <c r="U13" s="3" t="s">
        <v>294</v>
      </c>
      <c r="V13" s="3" t="s">
        <v>296</v>
      </c>
      <c r="W13" s="3">
        <v>9500000</v>
      </c>
      <c r="X13" s="3" t="s">
        <v>60</v>
      </c>
      <c r="Y13" s="3" t="s">
        <v>297</v>
      </c>
      <c r="Z13" s="3" t="s">
        <v>72</v>
      </c>
      <c r="AA13" s="3" t="s">
        <v>298</v>
      </c>
      <c r="AB13" s="3" t="s">
        <v>290</v>
      </c>
      <c r="AC13" s="3" t="s">
        <v>185</v>
      </c>
      <c r="AD13" s="3" t="s">
        <v>299</v>
      </c>
      <c r="AE13" s="3" t="s">
        <v>76</v>
      </c>
      <c r="AF13" s="3" t="s">
        <v>77</v>
      </c>
      <c r="AG13" s="3" t="s">
        <v>78</v>
      </c>
      <c r="AH13" s="3" t="s">
        <v>79</v>
      </c>
      <c r="AI13" s="3" t="s">
        <v>80</v>
      </c>
      <c r="AJ13" s="3" t="str">
        <f t="shared" si="0"/>
        <v>LBR007</v>
      </c>
      <c r="AK13" s="7">
        <f t="shared" si="1"/>
        <v>45761</v>
      </c>
      <c r="AL13" s="3">
        <f t="shared" si="2"/>
        <v>2</v>
      </c>
      <c r="AM13" s="3" t="str">
        <f t="shared" si="3"/>
        <v>Koordinasi SDM</v>
      </c>
      <c r="AN13" s="3" t="str">
        <f t="shared" si="4"/>
        <v>Approved</v>
      </c>
      <c r="AO13" s="3">
        <f t="shared" si="5"/>
        <v>30000</v>
      </c>
      <c r="AP13" s="3" t="s">
        <v>300</v>
      </c>
      <c r="AQ13" s="3" t="s">
        <v>82</v>
      </c>
      <c r="AR13" s="3" t="s">
        <v>83</v>
      </c>
      <c r="AS13" s="3">
        <v>2400000</v>
      </c>
      <c r="AT13" s="3">
        <v>1235000</v>
      </c>
      <c r="AU13" s="3">
        <v>60000</v>
      </c>
      <c r="AV13" s="3">
        <v>10725000</v>
      </c>
      <c r="AW13" s="3" t="s">
        <v>84</v>
      </c>
      <c r="AX13" s="3" t="s">
        <v>85</v>
      </c>
      <c r="AY13" s="3" t="s">
        <v>301</v>
      </c>
      <c r="AZ13" s="3" t="s">
        <v>141</v>
      </c>
      <c r="BA13" s="3">
        <v>300000</v>
      </c>
      <c r="BB13" s="3" t="str">
        <f t="shared" si="6"/>
        <v>Biaya transport</v>
      </c>
      <c r="BC13" s="3" t="s">
        <v>302</v>
      </c>
      <c r="BD13" s="3" t="s">
        <v>143</v>
      </c>
      <c r="BE13" s="3">
        <v>557500</v>
      </c>
      <c r="BF13" s="3" t="s">
        <v>144</v>
      </c>
    </row>
    <row r="14" spans="1:58" x14ac:dyDescent="0.25">
      <c r="A14" s="3" t="s">
        <v>303</v>
      </c>
      <c r="B14" s="3" t="s">
        <v>304</v>
      </c>
      <c r="C14" s="3" t="s">
        <v>305</v>
      </c>
      <c r="D14" s="3" t="s">
        <v>306</v>
      </c>
      <c r="E14" s="3" t="s">
        <v>56</v>
      </c>
      <c r="F14" s="3" t="s">
        <v>307</v>
      </c>
      <c r="G14" s="3" t="s">
        <v>308</v>
      </c>
      <c r="H14" s="3" t="s">
        <v>309</v>
      </c>
      <c r="I14" s="3" t="s">
        <v>60</v>
      </c>
      <c r="J14" s="3" t="s">
        <v>125</v>
      </c>
      <c r="K14" s="3" t="s">
        <v>175</v>
      </c>
      <c r="L14" s="3" t="s">
        <v>176</v>
      </c>
      <c r="M14" s="3" t="s">
        <v>177</v>
      </c>
      <c r="N14" s="3">
        <v>2500000</v>
      </c>
      <c r="O14" s="3">
        <v>3500000</v>
      </c>
      <c r="P14" s="3" t="s">
        <v>129</v>
      </c>
      <c r="Q14" s="3" t="s">
        <v>130</v>
      </c>
      <c r="R14" s="3" t="s">
        <v>131</v>
      </c>
      <c r="S14" s="3" t="s">
        <v>310</v>
      </c>
      <c r="T14" s="3" t="s">
        <v>311</v>
      </c>
      <c r="U14" s="3" t="s">
        <v>309</v>
      </c>
      <c r="V14" s="3" t="s">
        <v>296</v>
      </c>
      <c r="W14" s="3">
        <v>2500000</v>
      </c>
      <c r="X14" s="3" t="s">
        <v>60</v>
      </c>
      <c r="Y14" s="3" t="s">
        <v>312</v>
      </c>
      <c r="Z14" s="3" t="s">
        <v>109</v>
      </c>
      <c r="AA14" s="3" t="s">
        <v>313</v>
      </c>
      <c r="AB14" s="3" t="s">
        <v>305</v>
      </c>
      <c r="AC14" s="3" t="s">
        <v>74</v>
      </c>
      <c r="AD14" s="3" t="s">
        <v>314</v>
      </c>
      <c r="AE14" s="3" t="s">
        <v>76</v>
      </c>
      <c r="AF14" s="3" t="s">
        <v>77</v>
      </c>
      <c r="AG14" s="3" t="s">
        <v>78</v>
      </c>
      <c r="AH14" s="3" t="s">
        <v>79</v>
      </c>
      <c r="AI14" s="3" t="s">
        <v>80</v>
      </c>
      <c r="AJ14" s="3" t="str">
        <f t="shared" si="0"/>
        <v>-</v>
      </c>
      <c r="AK14" s="7" t="str">
        <f t="shared" si="1"/>
        <v>-</v>
      </c>
      <c r="AL14" s="3" t="str">
        <f t="shared" si="2"/>
        <v>-</v>
      </c>
      <c r="AM14" s="3" t="str">
        <f t="shared" si="3"/>
        <v>-</v>
      </c>
      <c r="AN14" s="3" t="str">
        <f t="shared" si="4"/>
        <v>-</v>
      </c>
      <c r="AO14" s="3" t="str">
        <f t="shared" si="5"/>
        <v>-</v>
      </c>
      <c r="AP14" s="3" t="s">
        <v>315</v>
      </c>
      <c r="AQ14" s="3" t="s">
        <v>82</v>
      </c>
      <c r="AR14" s="3" t="s">
        <v>83</v>
      </c>
      <c r="AS14" s="3">
        <v>625000</v>
      </c>
      <c r="AT14" s="3">
        <v>325000</v>
      </c>
      <c r="AU14" s="3">
        <v>0</v>
      </c>
      <c r="AV14" s="3">
        <v>2800000</v>
      </c>
      <c r="AW14" s="3" t="s">
        <v>84</v>
      </c>
      <c r="AX14" s="3" t="s">
        <v>85</v>
      </c>
      <c r="AY14" s="3" t="s">
        <v>316</v>
      </c>
      <c r="AZ14" s="3" t="s">
        <v>114</v>
      </c>
      <c r="BA14" s="3">
        <v>400000</v>
      </c>
      <c r="BB14" s="3" t="str">
        <f t="shared" si="6"/>
        <v>Biaya makan</v>
      </c>
      <c r="BC14" s="3" t="s">
        <v>317</v>
      </c>
      <c r="BD14" s="3" t="s">
        <v>89</v>
      </c>
      <c r="BE14" s="3">
        <v>70000</v>
      </c>
      <c r="BF14" s="3" t="s">
        <v>90</v>
      </c>
    </row>
    <row r="15" spans="1:58" x14ac:dyDescent="0.25">
      <c r="A15" s="3" t="s">
        <v>318</v>
      </c>
      <c r="B15" s="3" t="s">
        <v>319</v>
      </c>
      <c r="C15" s="3" t="s">
        <v>320</v>
      </c>
      <c r="D15" s="3" t="s">
        <v>321</v>
      </c>
      <c r="E15" s="3" t="s">
        <v>95</v>
      </c>
      <c r="F15" s="3" t="s">
        <v>322</v>
      </c>
      <c r="G15" s="3" t="s">
        <v>323</v>
      </c>
      <c r="H15" s="3" t="s">
        <v>324</v>
      </c>
      <c r="I15" s="3" t="s">
        <v>60</v>
      </c>
      <c r="J15" s="3" t="s">
        <v>99</v>
      </c>
      <c r="K15" s="3" t="s">
        <v>100</v>
      </c>
      <c r="L15" s="3" t="s">
        <v>101</v>
      </c>
      <c r="M15" s="3" t="s">
        <v>102</v>
      </c>
      <c r="N15" s="3">
        <v>3500000</v>
      </c>
      <c r="O15" s="3">
        <v>5500000</v>
      </c>
      <c r="P15" s="3" t="s">
        <v>103</v>
      </c>
      <c r="Q15" s="3" t="s">
        <v>104</v>
      </c>
      <c r="R15" s="3" t="s">
        <v>105</v>
      </c>
      <c r="S15" s="3" t="s">
        <v>325</v>
      </c>
      <c r="T15" s="3" t="s">
        <v>69</v>
      </c>
      <c r="U15" s="3" t="s">
        <v>324</v>
      </c>
      <c r="V15" s="3" t="s">
        <v>326</v>
      </c>
      <c r="W15" s="3">
        <v>4600000</v>
      </c>
      <c r="X15" s="3" t="s">
        <v>60</v>
      </c>
      <c r="Y15" s="3" t="s">
        <v>327</v>
      </c>
      <c r="Z15" s="3" t="s">
        <v>136</v>
      </c>
      <c r="AA15" s="3" t="s">
        <v>328</v>
      </c>
      <c r="AB15" s="3" t="s">
        <v>320</v>
      </c>
      <c r="AC15" s="3" t="s">
        <v>185</v>
      </c>
      <c r="AD15" s="3" t="s">
        <v>660</v>
      </c>
      <c r="AE15" s="3" t="s">
        <v>591</v>
      </c>
      <c r="AF15" s="3" t="s">
        <v>588</v>
      </c>
      <c r="AG15" s="3" t="s">
        <v>589</v>
      </c>
      <c r="AH15" s="3" t="s">
        <v>585</v>
      </c>
      <c r="AI15" s="3" t="str">
        <f>"-,Sakit Gigi"</f>
        <v>-,Sakit Gigi</v>
      </c>
      <c r="AJ15" s="3" t="str">
        <f t="shared" si="0"/>
        <v>-</v>
      </c>
      <c r="AK15" s="7" t="str">
        <f t="shared" si="1"/>
        <v>-</v>
      </c>
      <c r="AL15" s="3" t="str">
        <f t="shared" si="2"/>
        <v>-</v>
      </c>
      <c r="AM15" s="3" t="str">
        <f t="shared" si="3"/>
        <v>-</v>
      </c>
      <c r="AN15" s="3" t="str">
        <f t="shared" si="4"/>
        <v>-</v>
      </c>
      <c r="AO15" s="3" t="str">
        <f t="shared" si="5"/>
        <v>-</v>
      </c>
      <c r="AP15" s="3" t="s">
        <v>330</v>
      </c>
      <c r="AQ15" s="3" t="s">
        <v>82</v>
      </c>
      <c r="AR15" s="3" t="s">
        <v>83</v>
      </c>
      <c r="AS15" s="3">
        <v>1150000</v>
      </c>
      <c r="AT15" s="3">
        <v>598000</v>
      </c>
      <c r="AU15" s="3">
        <v>0</v>
      </c>
      <c r="AV15" s="3">
        <v>5152000</v>
      </c>
      <c r="AW15" s="3" t="s">
        <v>84</v>
      </c>
      <c r="AX15" s="3" t="s">
        <v>85</v>
      </c>
      <c r="AY15" s="3" t="s">
        <v>331</v>
      </c>
      <c r="AZ15" s="3" t="s">
        <v>141</v>
      </c>
      <c r="BA15" s="3">
        <v>300000</v>
      </c>
      <c r="BB15" s="3" t="str">
        <f t="shared" si="6"/>
        <v>Biaya transport</v>
      </c>
      <c r="BC15" s="3" t="s">
        <v>332</v>
      </c>
      <c r="BD15" s="3" t="s">
        <v>116</v>
      </c>
      <c r="BE15" s="3">
        <v>56000</v>
      </c>
      <c r="BF15" s="3" t="s">
        <v>117</v>
      </c>
    </row>
    <row r="16" spans="1:58" x14ac:dyDescent="0.25">
      <c r="A16" s="3" t="s">
        <v>333</v>
      </c>
      <c r="B16" s="3" t="s">
        <v>334</v>
      </c>
      <c r="C16" s="3" t="s">
        <v>335</v>
      </c>
      <c r="D16" s="3" t="s">
        <v>336</v>
      </c>
      <c r="E16" s="3" t="s">
        <v>56</v>
      </c>
      <c r="F16" s="3" t="s">
        <v>337</v>
      </c>
      <c r="G16" s="3" t="s">
        <v>338</v>
      </c>
      <c r="H16" s="3" t="s">
        <v>339</v>
      </c>
      <c r="I16" s="3" t="s">
        <v>60</v>
      </c>
      <c r="J16" s="3" t="s">
        <v>152</v>
      </c>
      <c r="K16" s="3" t="s">
        <v>175</v>
      </c>
      <c r="L16" s="3" t="s">
        <v>176</v>
      </c>
      <c r="M16" s="3" t="s">
        <v>177</v>
      </c>
      <c r="N16" s="3">
        <v>2500000</v>
      </c>
      <c r="O16" s="3">
        <v>3500000</v>
      </c>
      <c r="P16" s="3" t="s">
        <v>155</v>
      </c>
      <c r="Q16" s="3" t="s">
        <v>156</v>
      </c>
      <c r="R16" s="3" t="s">
        <v>157</v>
      </c>
      <c r="S16" s="3" t="s">
        <v>340</v>
      </c>
      <c r="T16" s="3" t="s">
        <v>133</v>
      </c>
      <c r="U16" s="3" t="s">
        <v>339</v>
      </c>
      <c r="V16" s="3" t="s">
        <v>341</v>
      </c>
      <c r="W16" s="3">
        <v>2800000</v>
      </c>
      <c r="X16" s="3" t="s">
        <v>60</v>
      </c>
      <c r="Y16" s="3" t="s">
        <v>342</v>
      </c>
      <c r="Z16" s="3" t="s">
        <v>161</v>
      </c>
      <c r="AA16" s="3" t="s">
        <v>343</v>
      </c>
      <c r="AB16" s="3" t="s">
        <v>335</v>
      </c>
      <c r="AC16" s="3" t="s">
        <v>185</v>
      </c>
      <c r="AD16" s="3" t="s">
        <v>344</v>
      </c>
      <c r="AE16" s="3" t="s">
        <v>76</v>
      </c>
      <c r="AF16" s="3" t="s">
        <v>77</v>
      </c>
      <c r="AG16" s="3" t="s">
        <v>78</v>
      </c>
      <c r="AH16" s="3" t="s">
        <v>79</v>
      </c>
      <c r="AI16" s="3" t="s">
        <v>80</v>
      </c>
      <c r="AJ16" s="3" t="str">
        <f t="shared" si="0"/>
        <v>-</v>
      </c>
      <c r="AK16" s="7" t="str">
        <f t="shared" si="1"/>
        <v>-</v>
      </c>
      <c r="AL16" s="3" t="str">
        <f t="shared" si="2"/>
        <v>-</v>
      </c>
      <c r="AM16" s="3" t="str">
        <f t="shared" si="3"/>
        <v>-</v>
      </c>
      <c r="AN16" s="3" t="str">
        <f t="shared" si="4"/>
        <v>-</v>
      </c>
      <c r="AO16" s="3" t="str">
        <f t="shared" si="5"/>
        <v>-</v>
      </c>
      <c r="AP16" s="3" t="s">
        <v>345</v>
      </c>
      <c r="AQ16" s="3" t="s">
        <v>82</v>
      </c>
      <c r="AR16" s="3" t="s">
        <v>83</v>
      </c>
      <c r="AS16" s="3">
        <v>700000</v>
      </c>
      <c r="AT16" s="3">
        <v>364000</v>
      </c>
      <c r="AU16" s="3">
        <v>0</v>
      </c>
      <c r="AV16" s="3">
        <v>3136000</v>
      </c>
      <c r="AW16" s="3" t="s">
        <v>84</v>
      </c>
      <c r="AX16" s="3" t="s">
        <v>85</v>
      </c>
      <c r="AY16" s="3" t="s">
        <v>657</v>
      </c>
      <c r="AZ16" s="3" t="s">
        <v>594</v>
      </c>
      <c r="BA16" s="3" t="str">
        <f>"700000,400000"</f>
        <v>700000,400000</v>
      </c>
      <c r="BB16" s="3" t="e">
        <f t="shared" si="6"/>
        <v>#N/A</v>
      </c>
      <c r="BC16" s="3" t="s">
        <v>347</v>
      </c>
      <c r="BD16" s="3" t="s">
        <v>143</v>
      </c>
      <c r="BE16" s="3">
        <v>238000</v>
      </c>
      <c r="BF16" s="3" t="s">
        <v>144</v>
      </c>
    </row>
    <row r="17" spans="1:58" x14ac:dyDescent="0.25">
      <c r="A17" s="3" t="s">
        <v>348</v>
      </c>
      <c r="B17" s="3" t="s">
        <v>349</v>
      </c>
      <c r="C17" s="3" t="s">
        <v>350</v>
      </c>
      <c r="D17" s="3" t="s">
        <v>351</v>
      </c>
      <c r="E17" s="3" t="s">
        <v>95</v>
      </c>
      <c r="F17" s="3" t="s">
        <v>352</v>
      </c>
      <c r="G17" s="3" t="s">
        <v>353</v>
      </c>
      <c r="H17" s="3" t="s">
        <v>354</v>
      </c>
      <c r="I17" s="3" t="s">
        <v>60</v>
      </c>
      <c r="J17" s="3" t="s">
        <v>61</v>
      </c>
      <c r="K17" s="3" t="s">
        <v>355</v>
      </c>
      <c r="L17" s="3" t="s">
        <v>356</v>
      </c>
      <c r="M17" s="3" t="s">
        <v>357</v>
      </c>
      <c r="N17" s="3">
        <v>15000000</v>
      </c>
      <c r="O17" s="3">
        <v>25000000</v>
      </c>
      <c r="P17" s="3" t="s">
        <v>65</v>
      </c>
      <c r="Q17" s="3" t="s">
        <v>66</v>
      </c>
      <c r="R17" s="3" t="s">
        <v>67</v>
      </c>
      <c r="S17" s="3" t="s">
        <v>358</v>
      </c>
      <c r="T17" s="3" t="s">
        <v>69</v>
      </c>
      <c r="U17" s="3" t="s">
        <v>354</v>
      </c>
      <c r="V17" s="3" t="s">
        <v>359</v>
      </c>
      <c r="W17" s="3">
        <v>20000000</v>
      </c>
      <c r="X17" s="3" t="s">
        <v>60</v>
      </c>
      <c r="Y17" s="3" t="s">
        <v>360</v>
      </c>
      <c r="Z17" s="3" t="s">
        <v>109</v>
      </c>
      <c r="AA17" s="3" t="s">
        <v>361</v>
      </c>
      <c r="AB17" s="3" t="s">
        <v>350</v>
      </c>
      <c r="AC17" s="3" t="s">
        <v>74</v>
      </c>
      <c r="AD17" s="3" t="s">
        <v>362</v>
      </c>
      <c r="AE17" s="3" t="s">
        <v>76</v>
      </c>
      <c r="AF17" s="3" t="s">
        <v>77</v>
      </c>
      <c r="AG17" s="3" t="s">
        <v>78</v>
      </c>
      <c r="AH17" s="3" t="s">
        <v>79</v>
      </c>
      <c r="AI17" s="3" t="s">
        <v>80</v>
      </c>
      <c r="AJ17" s="3" t="str">
        <f t="shared" si="0"/>
        <v>-</v>
      </c>
      <c r="AK17" s="7" t="str">
        <f t="shared" si="1"/>
        <v>-</v>
      </c>
      <c r="AL17" s="3" t="str">
        <f t="shared" si="2"/>
        <v>-</v>
      </c>
      <c r="AM17" s="3" t="str">
        <f t="shared" si="3"/>
        <v>-</v>
      </c>
      <c r="AN17" s="3" t="str">
        <f t="shared" si="4"/>
        <v>-</v>
      </c>
      <c r="AO17" s="3" t="str">
        <f t="shared" si="5"/>
        <v>-</v>
      </c>
      <c r="AP17" s="3" t="s">
        <v>363</v>
      </c>
      <c r="AQ17" s="3" t="s">
        <v>82</v>
      </c>
      <c r="AR17" s="3" t="s">
        <v>83</v>
      </c>
      <c r="AS17" s="3">
        <v>5000000</v>
      </c>
      <c r="AT17" s="3">
        <v>2600000</v>
      </c>
      <c r="AU17" s="3">
        <v>0</v>
      </c>
      <c r="AV17" s="3">
        <v>22400000</v>
      </c>
      <c r="AW17" s="3" t="s">
        <v>84</v>
      </c>
      <c r="AX17" s="3" t="s">
        <v>85</v>
      </c>
      <c r="AY17" s="3" t="s">
        <v>364</v>
      </c>
      <c r="AZ17" s="3" t="s">
        <v>114</v>
      </c>
      <c r="BA17" s="3">
        <v>400000</v>
      </c>
      <c r="BB17" s="3" t="str">
        <f t="shared" si="6"/>
        <v>Biaya makan</v>
      </c>
      <c r="BC17" s="3" t="s">
        <v>365</v>
      </c>
      <c r="BD17" s="3" t="s">
        <v>89</v>
      </c>
      <c r="BE17" s="3">
        <v>137500</v>
      </c>
      <c r="BF17" s="3" t="s">
        <v>90</v>
      </c>
    </row>
    <row r="18" spans="1:58" x14ac:dyDescent="0.25">
      <c r="A18" s="3" t="s">
        <v>366</v>
      </c>
      <c r="B18" s="3" t="s">
        <v>367</v>
      </c>
      <c r="C18" s="3" t="s">
        <v>368</v>
      </c>
      <c r="D18" s="3" t="s">
        <v>369</v>
      </c>
      <c r="E18" s="3" t="s">
        <v>56</v>
      </c>
      <c r="F18" s="3" t="s">
        <v>370</v>
      </c>
      <c r="G18" s="3" t="s">
        <v>371</v>
      </c>
      <c r="H18" s="3" t="s">
        <v>372</v>
      </c>
      <c r="I18" s="3" t="s">
        <v>60</v>
      </c>
      <c r="J18" s="3" t="s">
        <v>174</v>
      </c>
      <c r="K18" s="3" t="s">
        <v>175</v>
      </c>
      <c r="L18" s="3" t="s">
        <v>176</v>
      </c>
      <c r="M18" s="3" t="s">
        <v>177</v>
      </c>
      <c r="N18" s="3">
        <v>2500000</v>
      </c>
      <c r="O18" s="3">
        <v>3500000</v>
      </c>
      <c r="P18" s="3" t="s">
        <v>178</v>
      </c>
      <c r="Q18" s="3" t="s">
        <v>179</v>
      </c>
      <c r="R18" s="3" t="s">
        <v>180</v>
      </c>
      <c r="S18" s="3" t="s">
        <v>373</v>
      </c>
      <c r="T18" s="3" t="s">
        <v>311</v>
      </c>
      <c r="U18" s="3" t="s">
        <v>372</v>
      </c>
      <c r="V18" s="3" t="s">
        <v>374</v>
      </c>
      <c r="W18" s="3">
        <v>2500000</v>
      </c>
      <c r="X18" s="3" t="s">
        <v>60</v>
      </c>
      <c r="Y18" s="3" t="s">
        <v>375</v>
      </c>
      <c r="Z18" s="3" t="s">
        <v>72</v>
      </c>
      <c r="AA18" s="3" t="s">
        <v>376</v>
      </c>
      <c r="AB18" s="3" t="s">
        <v>368</v>
      </c>
      <c r="AC18" s="3" t="s">
        <v>185</v>
      </c>
      <c r="AD18" s="3" t="s">
        <v>377</v>
      </c>
      <c r="AE18" s="3" t="s">
        <v>76</v>
      </c>
      <c r="AF18" s="3" t="s">
        <v>77</v>
      </c>
      <c r="AG18" s="3" t="s">
        <v>78</v>
      </c>
      <c r="AH18" s="3" t="s">
        <v>79</v>
      </c>
      <c r="AI18" s="3" t="s">
        <v>80</v>
      </c>
      <c r="AJ18" s="3" t="str">
        <f t="shared" si="0"/>
        <v>-</v>
      </c>
      <c r="AK18" s="7" t="str">
        <f t="shared" si="1"/>
        <v>-</v>
      </c>
      <c r="AL18" s="3" t="str">
        <f t="shared" si="2"/>
        <v>-</v>
      </c>
      <c r="AM18" s="3" t="str">
        <f t="shared" si="3"/>
        <v>-</v>
      </c>
      <c r="AN18" s="3" t="str">
        <f t="shared" si="4"/>
        <v>-</v>
      </c>
      <c r="AO18" s="3" t="str">
        <f t="shared" si="5"/>
        <v>-</v>
      </c>
      <c r="AP18" s="3" t="s">
        <v>378</v>
      </c>
      <c r="AQ18" s="3" t="s">
        <v>82</v>
      </c>
      <c r="AR18" s="3" t="s">
        <v>83</v>
      </c>
      <c r="AS18" s="3">
        <v>625000</v>
      </c>
      <c r="AT18" s="3">
        <v>325000</v>
      </c>
      <c r="AU18" s="3">
        <v>0</v>
      </c>
      <c r="AV18" s="3">
        <v>2800000</v>
      </c>
      <c r="AW18" s="3" t="s">
        <v>84</v>
      </c>
      <c r="AX18" s="3" t="s">
        <v>85</v>
      </c>
      <c r="AY18" s="3" t="s">
        <v>379</v>
      </c>
      <c r="AZ18" s="3" t="s">
        <v>141</v>
      </c>
      <c r="BA18" s="3">
        <v>300000</v>
      </c>
      <c r="BB18" s="3" t="str">
        <f t="shared" si="6"/>
        <v>Biaya transport</v>
      </c>
      <c r="BC18" s="3" t="s">
        <v>380</v>
      </c>
      <c r="BD18" s="3" t="s">
        <v>116</v>
      </c>
      <c r="BE18" s="3">
        <v>110000</v>
      </c>
      <c r="BF18" s="3" t="s">
        <v>117</v>
      </c>
    </row>
    <row r="19" spans="1:58" x14ac:dyDescent="0.25">
      <c r="A19" s="3" t="s">
        <v>381</v>
      </c>
      <c r="B19" s="3" t="s">
        <v>382</v>
      </c>
      <c r="C19" s="3" t="s">
        <v>383</v>
      </c>
      <c r="D19" s="3" t="s">
        <v>384</v>
      </c>
      <c r="E19" s="3" t="s">
        <v>95</v>
      </c>
      <c r="F19" s="3" t="s">
        <v>385</v>
      </c>
      <c r="G19" s="3" t="s">
        <v>386</v>
      </c>
      <c r="H19" s="3" t="s">
        <v>387</v>
      </c>
      <c r="I19" s="3" t="s">
        <v>60</v>
      </c>
      <c r="J19" s="3" t="s">
        <v>99</v>
      </c>
      <c r="K19" s="3" t="s">
        <v>153</v>
      </c>
      <c r="L19" s="3" t="s">
        <v>154</v>
      </c>
      <c r="M19" s="3" t="s">
        <v>128</v>
      </c>
      <c r="N19" s="3">
        <v>5000000</v>
      </c>
      <c r="O19" s="3">
        <v>8000000</v>
      </c>
      <c r="P19" s="3" t="s">
        <v>103</v>
      </c>
      <c r="Q19" s="3" t="s">
        <v>104</v>
      </c>
      <c r="R19" s="3" t="s">
        <v>105</v>
      </c>
      <c r="S19" s="3" t="s">
        <v>388</v>
      </c>
      <c r="T19" s="3" t="s">
        <v>69</v>
      </c>
      <c r="U19" s="3" t="s">
        <v>387</v>
      </c>
      <c r="V19" s="3" t="s">
        <v>389</v>
      </c>
      <c r="W19" s="3">
        <v>5600000</v>
      </c>
      <c r="X19" s="3" t="s">
        <v>60</v>
      </c>
      <c r="Y19" s="3" t="s">
        <v>390</v>
      </c>
      <c r="Z19" s="3" t="s">
        <v>200</v>
      </c>
      <c r="AA19" s="3" t="s">
        <v>391</v>
      </c>
      <c r="AB19" s="3" t="s">
        <v>383</v>
      </c>
      <c r="AC19" s="3" t="s">
        <v>74</v>
      </c>
      <c r="AD19" s="3" t="s">
        <v>392</v>
      </c>
      <c r="AE19" s="3" t="s">
        <v>76</v>
      </c>
      <c r="AF19" s="3" t="s">
        <v>80</v>
      </c>
      <c r="AG19" s="3" t="s">
        <v>80</v>
      </c>
      <c r="AH19" s="3" t="s">
        <v>393</v>
      </c>
      <c r="AI19" s="3" t="s">
        <v>587</v>
      </c>
      <c r="AJ19" s="3" t="str">
        <f t="shared" si="0"/>
        <v>LBR008</v>
      </c>
      <c r="AK19" s="7">
        <f t="shared" si="1"/>
        <v>45762</v>
      </c>
      <c r="AL19" s="3">
        <f t="shared" si="2"/>
        <v>3</v>
      </c>
      <c r="AM19" s="3" t="str">
        <f t="shared" si="3"/>
        <v>Rekonsiliasi data</v>
      </c>
      <c r="AN19" s="3" t="str">
        <f t="shared" si="4"/>
        <v>Approved</v>
      </c>
      <c r="AO19" s="3">
        <f t="shared" si="5"/>
        <v>22000</v>
      </c>
      <c r="AP19" s="3" t="s">
        <v>394</v>
      </c>
      <c r="AQ19" s="3" t="s">
        <v>82</v>
      </c>
      <c r="AR19" s="3" t="s">
        <v>83</v>
      </c>
      <c r="AS19" s="3">
        <v>1400000</v>
      </c>
      <c r="AT19" s="3">
        <v>728000</v>
      </c>
      <c r="AU19" s="3">
        <v>66000</v>
      </c>
      <c r="AV19" s="3">
        <v>6338000</v>
      </c>
      <c r="AW19" s="3" t="s">
        <v>84</v>
      </c>
      <c r="AX19" s="3" t="s">
        <v>85</v>
      </c>
      <c r="AY19" s="3" t="s">
        <v>395</v>
      </c>
      <c r="AZ19" s="3" t="s">
        <v>87</v>
      </c>
      <c r="BA19" s="3">
        <v>3500000</v>
      </c>
      <c r="BB19" s="3" t="str">
        <f t="shared" si="6"/>
        <v>Sesuai jabatan</v>
      </c>
      <c r="BC19" s="3" t="s">
        <v>396</v>
      </c>
      <c r="BD19" s="3" t="s">
        <v>143</v>
      </c>
      <c r="BE19" s="3">
        <v>467500</v>
      </c>
      <c r="BF19" s="3" t="s">
        <v>144</v>
      </c>
    </row>
    <row r="20" spans="1:58" x14ac:dyDescent="0.25">
      <c r="A20" s="3" t="s">
        <v>397</v>
      </c>
      <c r="B20" s="3" t="s">
        <v>398</v>
      </c>
      <c r="C20" s="3" t="s">
        <v>399</v>
      </c>
      <c r="D20" s="3" t="s">
        <v>400</v>
      </c>
      <c r="E20" s="3" t="s">
        <v>56</v>
      </c>
      <c r="F20" s="3" t="s">
        <v>401</v>
      </c>
      <c r="G20" s="3" t="s">
        <v>402</v>
      </c>
      <c r="H20" s="3" t="s">
        <v>403</v>
      </c>
      <c r="I20" s="3" t="s">
        <v>60</v>
      </c>
      <c r="J20" s="3" t="s">
        <v>125</v>
      </c>
      <c r="K20" s="3" t="s">
        <v>247</v>
      </c>
      <c r="L20" s="3" t="s">
        <v>248</v>
      </c>
      <c r="M20" s="3" t="s">
        <v>128</v>
      </c>
      <c r="N20" s="3">
        <v>5000000</v>
      </c>
      <c r="O20" s="3">
        <v>8500000</v>
      </c>
      <c r="P20" s="3" t="s">
        <v>129</v>
      </c>
      <c r="Q20" s="3" t="s">
        <v>130</v>
      </c>
      <c r="R20" s="3" t="s">
        <v>131</v>
      </c>
      <c r="S20" s="3" t="s">
        <v>404</v>
      </c>
      <c r="T20" s="3" t="s">
        <v>133</v>
      </c>
      <c r="U20" s="3" t="s">
        <v>403</v>
      </c>
      <c r="V20" s="3" t="s">
        <v>405</v>
      </c>
      <c r="W20" s="3">
        <v>5700000</v>
      </c>
      <c r="X20" s="3" t="s">
        <v>60</v>
      </c>
      <c r="Y20" s="3" t="s">
        <v>406</v>
      </c>
      <c r="Z20" s="3" t="s">
        <v>136</v>
      </c>
      <c r="AA20" s="3" t="s">
        <v>407</v>
      </c>
      <c r="AB20" s="3" t="s">
        <v>399</v>
      </c>
      <c r="AC20" s="3" t="s">
        <v>185</v>
      </c>
      <c r="AD20" s="3" t="s">
        <v>408</v>
      </c>
      <c r="AE20" s="3" t="s">
        <v>76</v>
      </c>
      <c r="AF20" s="3" t="s">
        <v>77</v>
      </c>
      <c r="AG20" s="3" t="s">
        <v>78</v>
      </c>
      <c r="AH20" s="3" t="s">
        <v>79</v>
      </c>
      <c r="AI20" s="3" t="s">
        <v>80</v>
      </c>
      <c r="AJ20" s="3" t="str">
        <f t="shared" si="0"/>
        <v>LBR009</v>
      </c>
      <c r="AK20" s="7">
        <f t="shared" si="1"/>
        <v>45763</v>
      </c>
      <c r="AL20" s="3">
        <f t="shared" si="2"/>
        <v>4</v>
      </c>
      <c r="AM20" s="3" t="str">
        <f t="shared" si="3"/>
        <v>Pengembangan sistem</v>
      </c>
      <c r="AN20" s="3" t="str">
        <f t="shared" si="4"/>
        <v>Approved</v>
      </c>
      <c r="AO20" s="3">
        <f t="shared" si="5"/>
        <v>27500</v>
      </c>
      <c r="AP20" s="3" t="s">
        <v>409</v>
      </c>
      <c r="AQ20" s="3" t="s">
        <v>82</v>
      </c>
      <c r="AR20" s="3" t="s">
        <v>83</v>
      </c>
      <c r="AS20" s="3">
        <v>1425000</v>
      </c>
      <c r="AT20" s="3">
        <v>741000</v>
      </c>
      <c r="AU20" s="3">
        <v>110000</v>
      </c>
      <c r="AV20" s="3">
        <v>6494000</v>
      </c>
      <c r="AW20" s="3" t="s">
        <v>84</v>
      </c>
      <c r="AX20" s="3" t="s">
        <v>85</v>
      </c>
      <c r="AY20" s="3" t="s">
        <v>410</v>
      </c>
      <c r="AZ20" s="3" t="s">
        <v>114</v>
      </c>
      <c r="BA20" s="3">
        <v>800000</v>
      </c>
      <c r="BB20" s="3" t="str">
        <f t="shared" si="6"/>
        <v>Biaya makan</v>
      </c>
      <c r="BC20" s="3" t="s">
        <v>411</v>
      </c>
      <c r="BD20" s="3" t="s">
        <v>89</v>
      </c>
      <c r="BE20" s="3">
        <v>500000</v>
      </c>
      <c r="BF20" s="3" t="s">
        <v>90</v>
      </c>
    </row>
    <row r="21" spans="1:58" x14ac:dyDescent="0.25">
      <c r="A21" s="3" t="s">
        <v>412</v>
      </c>
      <c r="B21" s="3" t="s">
        <v>413</v>
      </c>
      <c r="C21" s="3" t="s">
        <v>414</v>
      </c>
      <c r="D21" s="3" t="s">
        <v>415</v>
      </c>
      <c r="E21" s="3" t="s">
        <v>95</v>
      </c>
      <c r="F21" s="3" t="s">
        <v>416</v>
      </c>
      <c r="G21" s="3" t="s">
        <v>417</v>
      </c>
      <c r="H21" s="3" t="s">
        <v>418</v>
      </c>
      <c r="I21" s="3" t="s">
        <v>60</v>
      </c>
      <c r="J21" s="3" t="s">
        <v>152</v>
      </c>
      <c r="K21" s="3" t="s">
        <v>153</v>
      </c>
      <c r="L21" s="3" t="s">
        <v>154</v>
      </c>
      <c r="M21" s="3" t="s">
        <v>128</v>
      </c>
      <c r="N21" s="3">
        <v>5000000</v>
      </c>
      <c r="O21" s="3">
        <v>8000000</v>
      </c>
      <c r="P21" s="3" t="s">
        <v>155</v>
      </c>
      <c r="Q21" s="3" t="s">
        <v>156</v>
      </c>
      <c r="R21" s="3" t="s">
        <v>157</v>
      </c>
      <c r="S21" s="3" t="s">
        <v>419</v>
      </c>
      <c r="T21" s="3" t="s">
        <v>69</v>
      </c>
      <c r="U21" s="3" t="s">
        <v>418</v>
      </c>
      <c r="V21" s="3" t="s">
        <v>420</v>
      </c>
      <c r="W21" s="3">
        <v>6200000</v>
      </c>
      <c r="X21" s="3" t="s">
        <v>60</v>
      </c>
      <c r="Y21" s="3" t="s">
        <v>421</v>
      </c>
      <c r="Z21" s="3" t="s">
        <v>161</v>
      </c>
      <c r="AA21" s="3" t="s">
        <v>422</v>
      </c>
      <c r="AB21" s="3" t="s">
        <v>414</v>
      </c>
      <c r="AC21" s="3" t="s">
        <v>185</v>
      </c>
      <c r="AD21" s="3" t="s">
        <v>423</v>
      </c>
      <c r="AE21" s="3" t="s">
        <v>76</v>
      </c>
      <c r="AF21" s="3" t="s">
        <v>77</v>
      </c>
      <c r="AG21" s="3" t="s">
        <v>78</v>
      </c>
      <c r="AH21" s="3" t="s">
        <v>79</v>
      </c>
      <c r="AI21" s="3" t="s">
        <v>80</v>
      </c>
      <c r="AJ21" s="3" t="str">
        <f t="shared" si="0"/>
        <v>LBR010</v>
      </c>
      <c r="AK21" s="7">
        <f t="shared" si="1"/>
        <v>45764</v>
      </c>
      <c r="AL21" s="3">
        <f t="shared" si="2"/>
        <v>2</v>
      </c>
      <c r="AM21" s="3" t="str">
        <f t="shared" si="3"/>
        <v>Pameran produk</v>
      </c>
      <c r="AN21" s="3" t="str">
        <f t="shared" si="4"/>
        <v>Approved</v>
      </c>
      <c r="AO21" s="3">
        <f t="shared" si="5"/>
        <v>23000</v>
      </c>
      <c r="AP21" s="3" t="s">
        <v>424</v>
      </c>
      <c r="AQ21" s="3" t="s">
        <v>82</v>
      </c>
      <c r="AR21" s="3" t="s">
        <v>83</v>
      </c>
      <c r="AS21" s="3">
        <v>1550000</v>
      </c>
      <c r="AT21" s="3">
        <v>806000</v>
      </c>
      <c r="AU21" s="3">
        <v>46000</v>
      </c>
      <c r="AV21" s="3">
        <v>6990000</v>
      </c>
      <c r="AW21" s="3" t="s">
        <v>84</v>
      </c>
      <c r="AX21" s="3" t="s">
        <v>85</v>
      </c>
      <c r="AY21" s="3" t="s">
        <v>425</v>
      </c>
      <c r="AZ21" s="3" t="s">
        <v>141</v>
      </c>
      <c r="BA21" s="3">
        <v>700000</v>
      </c>
      <c r="BB21" s="3" t="str">
        <f t="shared" si="6"/>
        <v>Biaya transport</v>
      </c>
      <c r="BC21" s="3" t="s">
        <v>426</v>
      </c>
      <c r="BD21" s="3" t="s">
        <v>116</v>
      </c>
      <c r="BE21" s="3">
        <v>400000</v>
      </c>
      <c r="BF21" s="3" t="s">
        <v>117</v>
      </c>
    </row>
    <row r="22" spans="1:58" x14ac:dyDescent="0.25">
      <c r="A22" s="3" t="s">
        <v>427</v>
      </c>
      <c r="B22" s="3" t="s">
        <v>428</v>
      </c>
      <c r="C22" s="3" t="s">
        <v>429</v>
      </c>
      <c r="D22" s="3" t="s">
        <v>430</v>
      </c>
      <c r="E22" s="3" t="s">
        <v>56</v>
      </c>
      <c r="F22" s="3" t="s">
        <v>431</v>
      </c>
      <c r="G22" s="3" t="s">
        <v>432</v>
      </c>
      <c r="H22" s="3" t="s">
        <v>433</v>
      </c>
      <c r="I22" s="3" t="s">
        <v>60</v>
      </c>
      <c r="J22" s="3" t="s">
        <v>174</v>
      </c>
      <c r="K22" s="3" t="s">
        <v>100</v>
      </c>
      <c r="L22" s="3" t="s">
        <v>101</v>
      </c>
      <c r="M22" s="3" t="s">
        <v>102</v>
      </c>
      <c r="N22" s="3">
        <v>3500000</v>
      </c>
      <c r="O22" s="3">
        <v>5500000</v>
      </c>
      <c r="P22" s="3" t="s">
        <v>178</v>
      </c>
      <c r="Q22" s="3" t="s">
        <v>179</v>
      </c>
      <c r="R22" s="3" t="s">
        <v>180</v>
      </c>
      <c r="S22" s="3" t="s">
        <v>434</v>
      </c>
      <c r="T22" s="3" t="s">
        <v>69</v>
      </c>
      <c r="U22" s="3" t="s">
        <v>433</v>
      </c>
      <c r="V22" s="3" t="s">
        <v>435</v>
      </c>
      <c r="W22" s="3">
        <v>4700000</v>
      </c>
      <c r="X22" s="3" t="s">
        <v>60</v>
      </c>
      <c r="Y22" s="3" t="s">
        <v>436</v>
      </c>
      <c r="Z22" s="3" t="s">
        <v>72</v>
      </c>
      <c r="AA22" s="3" t="s">
        <v>437</v>
      </c>
      <c r="AB22" s="3" t="s">
        <v>429</v>
      </c>
      <c r="AC22" s="3" t="s">
        <v>185</v>
      </c>
      <c r="AD22" s="3" t="s">
        <v>438</v>
      </c>
      <c r="AE22" s="3" t="s">
        <v>76</v>
      </c>
      <c r="AF22" s="3" t="s">
        <v>77</v>
      </c>
      <c r="AG22" s="3" t="s">
        <v>78</v>
      </c>
      <c r="AH22" s="3" t="s">
        <v>79</v>
      </c>
      <c r="AI22" s="3" t="s">
        <v>80</v>
      </c>
      <c r="AJ22" s="3" t="str">
        <f t="shared" si="0"/>
        <v>-</v>
      </c>
      <c r="AK22" s="7" t="str">
        <f t="shared" si="1"/>
        <v>-</v>
      </c>
      <c r="AL22" s="3" t="str">
        <f t="shared" si="2"/>
        <v>-</v>
      </c>
      <c r="AM22" s="3" t="str">
        <f t="shared" si="3"/>
        <v>-</v>
      </c>
      <c r="AN22" s="3" t="str">
        <f t="shared" si="4"/>
        <v>-</v>
      </c>
      <c r="AO22" s="3" t="str">
        <f t="shared" si="5"/>
        <v>-</v>
      </c>
      <c r="AP22" s="3" t="s">
        <v>439</v>
      </c>
      <c r="AQ22" s="3" t="s">
        <v>82</v>
      </c>
      <c r="AR22" s="3" t="s">
        <v>83</v>
      </c>
      <c r="AS22" s="3">
        <v>1175000</v>
      </c>
      <c r="AT22" s="3">
        <v>611000</v>
      </c>
      <c r="AU22" s="3">
        <v>0</v>
      </c>
      <c r="AV22" s="3">
        <v>5264000</v>
      </c>
      <c r="AW22" s="3" t="s">
        <v>84</v>
      </c>
      <c r="AX22" s="3" t="s">
        <v>85</v>
      </c>
      <c r="AY22" s="3" t="s">
        <v>667</v>
      </c>
      <c r="AZ22" s="3" t="s">
        <v>594</v>
      </c>
      <c r="BA22" s="3" t="str">
        <f>"700000,400000"</f>
        <v>700000,400000</v>
      </c>
      <c r="BB22" s="3" t="e">
        <f t="shared" si="6"/>
        <v>#N/A</v>
      </c>
      <c r="BC22" s="3" t="s">
        <v>441</v>
      </c>
      <c r="BD22" s="3" t="s">
        <v>143</v>
      </c>
      <c r="BE22" s="3">
        <v>1700000</v>
      </c>
      <c r="BF22" s="3" t="s">
        <v>144</v>
      </c>
    </row>
    <row r="23" spans="1:58" x14ac:dyDescent="0.25">
      <c r="A23" s="3" t="s">
        <v>442</v>
      </c>
      <c r="B23" s="3" t="s">
        <v>443</v>
      </c>
      <c r="C23" s="3" t="s">
        <v>444</v>
      </c>
      <c r="D23" s="3" t="s">
        <v>445</v>
      </c>
      <c r="E23" s="3" t="s">
        <v>95</v>
      </c>
      <c r="F23" s="3" t="s">
        <v>446</v>
      </c>
      <c r="G23" s="3" t="s">
        <v>447</v>
      </c>
      <c r="H23" s="3" t="s">
        <v>448</v>
      </c>
      <c r="I23" s="3" t="s">
        <v>60</v>
      </c>
      <c r="J23" s="3" t="s">
        <v>61</v>
      </c>
      <c r="K23" s="3" t="s">
        <v>175</v>
      </c>
      <c r="L23" s="3" t="s">
        <v>176</v>
      </c>
      <c r="M23" s="3" t="s">
        <v>177</v>
      </c>
      <c r="N23" s="3">
        <v>2500000</v>
      </c>
      <c r="O23" s="3">
        <v>3500000</v>
      </c>
      <c r="P23" s="3" t="s">
        <v>65</v>
      </c>
      <c r="Q23" s="3" t="s">
        <v>66</v>
      </c>
      <c r="R23" s="3" t="s">
        <v>67</v>
      </c>
      <c r="S23" s="3" t="s">
        <v>449</v>
      </c>
      <c r="T23" s="3" t="s">
        <v>311</v>
      </c>
      <c r="U23" s="3" t="s">
        <v>448</v>
      </c>
      <c r="V23" s="3" t="s">
        <v>450</v>
      </c>
      <c r="W23" s="3">
        <v>2500000</v>
      </c>
      <c r="X23" s="3" t="s">
        <v>60</v>
      </c>
      <c r="Y23" s="3" t="s">
        <v>451</v>
      </c>
      <c r="Z23" s="3" t="s">
        <v>109</v>
      </c>
      <c r="AA23" s="3" t="s">
        <v>452</v>
      </c>
      <c r="AB23" s="3" t="s">
        <v>444</v>
      </c>
      <c r="AC23" s="3" t="s">
        <v>185</v>
      </c>
      <c r="AD23" s="3" t="s">
        <v>453</v>
      </c>
      <c r="AE23" s="3" t="s">
        <v>76</v>
      </c>
      <c r="AF23" s="3" t="s">
        <v>77</v>
      </c>
      <c r="AG23" s="3" t="s">
        <v>78</v>
      </c>
      <c r="AH23" s="3" t="s">
        <v>79</v>
      </c>
      <c r="AI23" s="3" t="s">
        <v>80</v>
      </c>
      <c r="AJ23" s="3" t="str">
        <f t="shared" si="0"/>
        <v>-</v>
      </c>
      <c r="AK23" s="7" t="str">
        <f t="shared" si="1"/>
        <v>-</v>
      </c>
      <c r="AL23" s="3" t="str">
        <f t="shared" si="2"/>
        <v>-</v>
      </c>
      <c r="AM23" s="3" t="str">
        <f t="shared" si="3"/>
        <v>-</v>
      </c>
      <c r="AN23" s="3" t="str">
        <f t="shared" si="4"/>
        <v>-</v>
      </c>
      <c r="AO23" s="3" t="str">
        <f t="shared" si="5"/>
        <v>-</v>
      </c>
      <c r="AP23" s="3" t="s">
        <v>454</v>
      </c>
      <c r="AQ23" s="3" t="s">
        <v>82</v>
      </c>
      <c r="AR23" s="3" t="s">
        <v>83</v>
      </c>
      <c r="AS23" s="3">
        <v>625000</v>
      </c>
      <c r="AT23" s="3">
        <v>325000</v>
      </c>
      <c r="AU23" s="3">
        <v>0</v>
      </c>
      <c r="AV23" s="3">
        <v>2800000</v>
      </c>
      <c r="AW23" s="3" t="s">
        <v>84</v>
      </c>
      <c r="AX23" s="3" t="s">
        <v>85</v>
      </c>
      <c r="AY23" s="3" t="s">
        <v>455</v>
      </c>
      <c r="AZ23" s="3" t="s">
        <v>114</v>
      </c>
      <c r="BA23" s="3">
        <v>500000</v>
      </c>
      <c r="BB23" s="3" t="str">
        <f t="shared" si="6"/>
        <v>Biaya makan</v>
      </c>
      <c r="BC23" s="3" t="s">
        <v>456</v>
      </c>
      <c r="BD23" s="3" t="s">
        <v>89</v>
      </c>
      <c r="BE23" s="3">
        <v>145000</v>
      </c>
      <c r="BF23" s="3" t="s">
        <v>90</v>
      </c>
    </row>
    <row r="24" spans="1:58" x14ac:dyDescent="0.25">
      <c r="A24" s="3" t="s">
        <v>457</v>
      </c>
      <c r="B24" s="3" t="s">
        <v>458</v>
      </c>
      <c r="C24" s="3" t="s">
        <v>459</v>
      </c>
      <c r="D24" s="3" t="s">
        <v>460</v>
      </c>
      <c r="E24" s="3" t="s">
        <v>56</v>
      </c>
      <c r="F24" s="3" t="s">
        <v>461</v>
      </c>
      <c r="G24" s="3" t="s">
        <v>462</v>
      </c>
      <c r="H24" s="3" t="s">
        <v>463</v>
      </c>
      <c r="I24" s="3" t="s">
        <v>60</v>
      </c>
      <c r="J24" s="3" t="s">
        <v>99</v>
      </c>
      <c r="K24" s="3" t="s">
        <v>62</v>
      </c>
      <c r="L24" s="3" t="s">
        <v>63</v>
      </c>
      <c r="M24" s="3" t="s">
        <v>64</v>
      </c>
      <c r="N24" s="3">
        <v>8000000</v>
      </c>
      <c r="O24" s="3">
        <v>15000000</v>
      </c>
      <c r="P24" s="3" t="s">
        <v>103</v>
      </c>
      <c r="Q24" s="3" t="s">
        <v>104</v>
      </c>
      <c r="R24" s="3" t="s">
        <v>105</v>
      </c>
      <c r="S24" s="3" t="s">
        <v>464</v>
      </c>
      <c r="T24" s="3" t="s">
        <v>69</v>
      </c>
      <c r="U24" s="3" t="s">
        <v>463</v>
      </c>
      <c r="V24" s="3" t="s">
        <v>465</v>
      </c>
      <c r="W24" s="3">
        <v>9000000</v>
      </c>
      <c r="X24" s="3" t="s">
        <v>60</v>
      </c>
      <c r="Y24" s="3" t="s">
        <v>466</v>
      </c>
      <c r="Z24" s="3" t="s">
        <v>136</v>
      </c>
      <c r="AA24" s="3" t="s">
        <v>467</v>
      </c>
      <c r="AB24" s="3" t="s">
        <v>459</v>
      </c>
      <c r="AC24" s="3" t="s">
        <v>185</v>
      </c>
      <c r="AD24" s="3" t="s">
        <v>468</v>
      </c>
      <c r="AE24" s="3" t="s">
        <v>76</v>
      </c>
      <c r="AF24" s="3" t="s">
        <v>77</v>
      </c>
      <c r="AG24" s="3" t="s">
        <v>78</v>
      </c>
      <c r="AH24" s="3" t="s">
        <v>79</v>
      </c>
      <c r="AI24" s="3" t="s">
        <v>80</v>
      </c>
      <c r="AJ24" s="3" t="str">
        <f t="shared" si="0"/>
        <v>LBR011</v>
      </c>
      <c r="AK24" s="7">
        <f t="shared" si="1"/>
        <v>45765</v>
      </c>
      <c r="AL24" s="3">
        <f t="shared" si="2"/>
        <v>3</v>
      </c>
      <c r="AM24" s="3" t="str">
        <f t="shared" si="3"/>
        <v>Review laporan keuangan</v>
      </c>
      <c r="AN24" s="3" t="str">
        <f t="shared" si="4"/>
        <v>Approved</v>
      </c>
      <c r="AO24" s="3">
        <f t="shared" si="5"/>
        <v>28000</v>
      </c>
      <c r="AP24" s="3" t="s">
        <v>469</v>
      </c>
      <c r="AQ24" s="3" t="s">
        <v>82</v>
      </c>
      <c r="AR24" s="3" t="s">
        <v>83</v>
      </c>
      <c r="AS24" s="3">
        <v>2250000</v>
      </c>
      <c r="AT24" s="3">
        <v>1170000</v>
      </c>
      <c r="AU24" s="3">
        <v>84000</v>
      </c>
      <c r="AV24" s="3">
        <v>10164000</v>
      </c>
      <c r="AW24" s="3" t="s">
        <v>84</v>
      </c>
      <c r="AX24" s="3" t="s">
        <v>85</v>
      </c>
      <c r="AY24" s="3" t="s">
        <v>470</v>
      </c>
      <c r="AZ24" s="3" t="s">
        <v>141</v>
      </c>
      <c r="BA24" s="3">
        <v>300000</v>
      </c>
      <c r="BB24" s="3" t="str">
        <f t="shared" si="6"/>
        <v>Biaya transport</v>
      </c>
      <c r="BC24" s="3" t="s">
        <v>471</v>
      </c>
      <c r="BD24" s="3" t="s">
        <v>116</v>
      </c>
      <c r="BE24" s="3">
        <v>116000</v>
      </c>
      <c r="BF24" s="3" t="s">
        <v>117</v>
      </c>
    </row>
    <row r="25" spans="1:58" x14ac:dyDescent="0.25">
      <c r="A25" s="3" t="s">
        <v>472</v>
      </c>
      <c r="B25" s="3" t="s">
        <v>473</v>
      </c>
      <c r="C25" s="3" t="s">
        <v>474</v>
      </c>
      <c r="D25" s="3" t="s">
        <v>475</v>
      </c>
      <c r="E25" s="3" t="s">
        <v>95</v>
      </c>
      <c r="F25" s="3" t="s">
        <v>476</v>
      </c>
      <c r="G25" s="3" t="s">
        <v>477</v>
      </c>
      <c r="H25" s="3" t="s">
        <v>478</v>
      </c>
      <c r="I25" s="3" t="s">
        <v>60</v>
      </c>
      <c r="J25" s="3" t="s">
        <v>125</v>
      </c>
      <c r="K25" s="3" t="s">
        <v>175</v>
      </c>
      <c r="L25" s="3" t="s">
        <v>176</v>
      </c>
      <c r="M25" s="3" t="s">
        <v>177</v>
      </c>
      <c r="N25" s="3">
        <v>2500000</v>
      </c>
      <c r="O25" s="3">
        <v>3500000</v>
      </c>
      <c r="P25" s="3" t="s">
        <v>129</v>
      </c>
      <c r="Q25" s="3" t="s">
        <v>130</v>
      </c>
      <c r="R25" s="3" t="s">
        <v>131</v>
      </c>
      <c r="S25" s="3" t="s">
        <v>479</v>
      </c>
      <c r="T25" s="3" t="s">
        <v>133</v>
      </c>
      <c r="U25" s="3" t="s">
        <v>478</v>
      </c>
      <c r="V25" s="3" t="s">
        <v>480</v>
      </c>
      <c r="W25" s="3">
        <v>2900000</v>
      </c>
      <c r="X25" s="3" t="s">
        <v>60</v>
      </c>
      <c r="Y25" s="3" t="s">
        <v>481</v>
      </c>
      <c r="Z25" s="3" t="s">
        <v>161</v>
      </c>
      <c r="AA25" s="3" t="s">
        <v>482</v>
      </c>
      <c r="AB25" s="3" t="s">
        <v>474</v>
      </c>
      <c r="AC25" s="3" t="s">
        <v>185</v>
      </c>
      <c r="AD25" s="3" t="s">
        <v>483</v>
      </c>
      <c r="AE25" s="3" t="s">
        <v>76</v>
      </c>
      <c r="AF25" s="3" t="s">
        <v>77</v>
      </c>
      <c r="AG25" s="3" t="s">
        <v>78</v>
      </c>
      <c r="AH25" s="3" t="s">
        <v>79</v>
      </c>
      <c r="AI25" s="3" t="s">
        <v>80</v>
      </c>
      <c r="AJ25" s="3" t="str">
        <f t="shared" si="0"/>
        <v>-</v>
      </c>
      <c r="AK25" s="7" t="str">
        <f t="shared" si="1"/>
        <v>-</v>
      </c>
      <c r="AL25" s="3" t="str">
        <f t="shared" si="2"/>
        <v>-</v>
      </c>
      <c r="AM25" s="3" t="str">
        <f t="shared" si="3"/>
        <v>-</v>
      </c>
      <c r="AN25" s="3" t="str">
        <f t="shared" si="4"/>
        <v>-</v>
      </c>
      <c r="AO25" s="3" t="str">
        <f t="shared" si="5"/>
        <v>-</v>
      </c>
      <c r="AP25" s="3" t="s">
        <v>484</v>
      </c>
      <c r="AQ25" s="3" t="s">
        <v>82</v>
      </c>
      <c r="AR25" s="3" t="s">
        <v>83</v>
      </c>
      <c r="AS25" s="3">
        <v>725000</v>
      </c>
      <c r="AT25" s="3">
        <v>377000</v>
      </c>
      <c r="AU25" s="3">
        <v>0</v>
      </c>
      <c r="AV25" s="3">
        <v>3248000</v>
      </c>
      <c r="AW25" s="3" t="s">
        <v>84</v>
      </c>
      <c r="AX25" s="3" t="s">
        <v>85</v>
      </c>
      <c r="AY25" s="3" t="s">
        <v>485</v>
      </c>
      <c r="AZ25" s="3" t="s">
        <v>87</v>
      </c>
      <c r="BA25" s="3">
        <v>700000</v>
      </c>
      <c r="BB25" s="3" t="str">
        <f t="shared" si="6"/>
        <v>Sesuai jabatan</v>
      </c>
      <c r="BC25" s="3" t="s">
        <v>486</v>
      </c>
      <c r="BD25" s="3" t="s">
        <v>143</v>
      </c>
      <c r="BE25" s="3">
        <v>493000</v>
      </c>
      <c r="BF25" s="3" t="s">
        <v>144</v>
      </c>
    </row>
    <row r="26" spans="1:58" x14ac:dyDescent="0.25">
      <c r="A26" s="3" t="s">
        <v>487</v>
      </c>
      <c r="B26" s="3" t="s">
        <v>488</v>
      </c>
      <c r="C26" s="3" t="s">
        <v>489</v>
      </c>
      <c r="D26" s="3" t="s">
        <v>490</v>
      </c>
      <c r="E26" s="3" t="s">
        <v>56</v>
      </c>
      <c r="F26" s="3" t="s">
        <v>491</v>
      </c>
      <c r="G26" s="3" t="s">
        <v>492</v>
      </c>
      <c r="H26" s="3" t="s">
        <v>493</v>
      </c>
      <c r="I26" s="3" t="s">
        <v>60</v>
      </c>
      <c r="J26" s="3" t="s">
        <v>152</v>
      </c>
      <c r="K26" s="3" t="s">
        <v>62</v>
      </c>
      <c r="L26" s="3" t="s">
        <v>63</v>
      </c>
      <c r="M26" s="3" t="s">
        <v>64</v>
      </c>
      <c r="N26" s="3">
        <v>8000000</v>
      </c>
      <c r="O26" s="3">
        <v>15000000</v>
      </c>
      <c r="P26" s="3" t="s">
        <v>155</v>
      </c>
      <c r="Q26" s="3" t="s">
        <v>156</v>
      </c>
      <c r="R26" s="3" t="s">
        <v>157</v>
      </c>
      <c r="S26" s="3" t="s">
        <v>494</v>
      </c>
      <c r="T26" s="3" t="s">
        <v>69</v>
      </c>
      <c r="U26" s="3" t="s">
        <v>493</v>
      </c>
      <c r="V26" s="3" t="s">
        <v>495</v>
      </c>
      <c r="W26" s="3">
        <v>9200000</v>
      </c>
      <c r="X26" s="3" t="s">
        <v>60</v>
      </c>
      <c r="Y26" s="3" t="s">
        <v>496</v>
      </c>
      <c r="Z26" s="3" t="s">
        <v>72</v>
      </c>
      <c r="AA26" s="3" t="s">
        <v>497</v>
      </c>
      <c r="AB26" s="3" t="s">
        <v>489</v>
      </c>
      <c r="AC26" s="3" t="s">
        <v>185</v>
      </c>
      <c r="AD26" s="3" t="s">
        <v>498</v>
      </c>
      <c r="AE26" s="3" t="s">
        <v>76</v>
      </c>
      <c r="AF26" s="3" t="s">
        <v>77</v>
      </c>
      <c r="AG26" s="3" t="s">
        <v>78</v>
      </c>
      <c r="AH26" s="3" t="s">
        <v>79</v>
      </c>
      <c r="AI26" s="3" t="s">
        <v>80</v>
      </c>
      <c r="AJ26" s="3" t="str">
        <f t="shared" si="0"/>
        <v>LBR012</v>
      </c>
      <c r="AK26" s="7">
        <f t="shared" si="1"/>
        <v>45766</v>
      </c>
      <c r="AL26" s="3">
        <f t="shared" si="2"/>
        <v>2</v>
      </c>
      <c r="AM26" s="3" t="str">
        <f t="shared" si="3"/>
        <v>Koordinasi operasional</v>
      </c>
      <c r="AN26" s="3" t="str">
        <f t="shared" si="4"/>
        <v>Approved</v>
      </c>
      <c r="AO26" s="3">
        <f t="shared" si="5"/>
        <v>29000</v>
      </c>
      <c r="AP26" s="3" t="s">
        <v>499</v>
      </c>
      <c r="AQ26" s="3" t="s">
        <v>82</v>
      </c>
      <c r="AR26" s="3" t="s">
        <v>83</v>
      </c>
      <c r="AS26" s="3">
        <v>2300000</v>
      </c>
      <c r="AT26" s="3">
        <v>1196000</v>
      </c>
      <c r="AU26" s="3">
        <v>58000</v>
      </c>
      <c r="AV26" s="3">
        <v>10362000</v>
      </c>
      <c r="AW26" s="3" t="s">
        <v>84</v>
      </c>
      <c r="AX26" s="3" t="s">
        <v>85</v>
      </c>
      <c r="AY26" s="3" t="s">
        <v>500</v>
      </c>
      <c r="AZ26" s="3" t="s">
        <v>114</v>
      </c>
      <c r="BA26" s="3">
        <v>500000</v>
      </c>
      <c r="BB26" s="3" t="str">
        <f t="shared" si="6"/>
        <v>Biaya makan</v>
      </c>
      <c r="BC26" s="3" t="s">
        <v>501</v>
      </c>
      <c r="BD26" s="3" t="s">
        <v>89</v>
      </c>
      <c r="BE26" s="3">
        <v>137500</v>
      </c>
      <c r="BF26" s="3" t="s">
        <v>90</v>
      </c>
    </row>
    <row r="27" spans="1:58" x14ac:dyDescent="0.25">
      <c r="A27" s="3" t="s">
        <v>502</v>
      </c>
      <c r="B27" s="3" t="s">
        <v>503</v>
      </c>
      <c r="C27" s="3" t="s">
        <v>504</v>
      </c>
      <c r="D27" s="3" t="s">
        <v>505</v>
      </c>
      <c r="E27" s="3" t="s">
        <v>95</v>
      </c>
      <c r="F27" s="3" t="s">
        <v>506</v>
      </c>
      <c r="G27" s="3" t="s">
        <v>507</v>
      </c>
      <c r="H27" s="3" t="s">
        <v>508</v>
      </c>
      <c r="I27" s="3" t="s">
        <v>60</v>
      </c>
      <c r="J27" s="3" t="s">
        <v>174</v>
      </c>
      <c r="K27" s="3" t="s">
        <v>175</v>
      </c>
      <c r="L27" s="3" t="s">
        <v>176</v>
      </c>
      <c r="M27" s="3" t="s">
        <v>177</v>
      </c>
      <c r="N27" s="3">
        <v>2500000</v>
      </c>
      <c r="O27" s="3">
        <v>3500000</v>
      </c>
      <c r="P27" s="3" t="s">
        <v>178</v>
      </c>
      <c r="Q27" s="3" t="s">
        <v>179</v>
      </c>
      <c r="R27" s="3" t="s">
        <v>180</v>
      </c>
      <c r="S27" s="3" t="s">
        <v>509</v>
      </c>
      <c r="T27" s="3" t="s">
        <v>133</v>
      </c>
      <c r="U27" s="3" t="s">
        <v>508</v>
      </c>
      <c r="V27" s="3" t="s">
        <v>510</v>
      </c>
      <c r="W27" s="3">
        <v>2800000</v>
      </c>
      <c r="X27" s="3" t="s">
        <v>60</v>
      </c>
      <c r="Y27" s="3" t="s">
        <v>511</v>
      </c>
      <c r="Z27" s="3" t="s">
        <v>109</v>
      </c>
      <c r="AA27" s="3" t="s">
        <v>512</v>
      </c>
      <c r="AB27" s="3" t="s">
        <v>504</v>
      </c>
      <c r="AC27" s="3" t="s">
        <v>185</v>
      </c>
      <c r="AD27" s="3" t="s">
        <v>513</v>
      </c>
      <c r="AE27" s="3" t="s">
        <v>76</v>
      </c>
      <c r="AF27" s="3" t="s">
        <v>77</v>
      </c>
      <c r="AG27" s="3" t="s">
        <v>78</v>
      </c>
      <c r="AH27" s="3" t="s">
        <v>79</v>
      </c>
      <c r="AI27" s="3" t="s">
        <v>80</v>
      </c>
      <c r="AJ27" s="3" t="str">
        <f t="shared" si="0"/>
        <v>-</v>
      </c>
      <c r="AK27" s="7" t="str">
        <f t="shared" si="1"/>
        <v>-</v>
      </c>
      <c r="AL27" s="3" t="str">
        <f t="shared" si="2"/>
        <v>-</v>
      </c>
      <c r="AM27" s="3" t="str">
        <f t="shared" si="3"/>
        <v>-</v>
      </c>
      <c r="AN27" s="3" t="str">
        <f t="shared" si="4"/>
        <v>-</v>
      </c>
      <c r="AO27" s="3" t="str">
        <f t="shared" si="5"/>
        <v>-</v>
      </c>
      <c r="AP27" s="3" t="s">
        <v>514</v>
      </c>
      <c r="AQ27" s="3" t="s">
        <v>82</v>
      </c>
      <c r="AR27" s="3" t="s">
        <v>83</v>
      </c>
      <c r="AS27" s="3">
        <v>700000</v>
      </c>
      <c r="AT27" s="3">
        <v>364000</v>
      </c>
      <c r="AU27" s="3">
        <v>0</v>
      </c>
      <c r="AV27" s="3">
        <v>3136000</v>
      </c>
      <c r="AW27" s="3" t="s">
        <v>84</v>
      </c>
      <c r="AX27" s="3" t="s">
        <v>85</v>
      </c>
      <c r="AY27" s="3" t="s">
        <v>515</v>
      </c>
      <c r="AZ27" s="3" t="s">
        <v>141</v>
      </c>
      <c r="BA27" s="3">
        <v>200000</v>
      </c>
      <c r="BB27" s="3" t="str">
        <f t="shared" si="6"/>
        <v>Biaya transport</v>
      </c>
      <c r="BC27" s="3" t="s">
        <v>516</v>
      </c>
      <c r="BD27" s="3" t="s">
        <v>116</v>
      </c>
      <c r="BE27" s="3">
        <v>110000</v>
      </c>
      <c r="BF27" s="3" t="s">
        <v>117</v>
      </c>
    </row>
    <row r="28" spans="1:58" x14ac:dyDescent="0.25">
      <c r="A28" s="3" t="s">
        <v>517</v>
      </c>
      <c r="B28" s="3" t="s">
        <v>518</v>
      </c>
      <c r="C28" s="3" t="s">
        <v>519</v>
      </c>
      <c r="D28" s="3" t="s">
        <v>520</v>
      </c>
      <c r="E28" s="3" t="s">
        <v>56</v>
      </c>
      <c r="F28" s="3" t="s">
        <v>521</v>
      </c>
      <c r="G28" s="3" t="s">
        <v>522</v>
      </c>
      <c r="H28" s="3" t="s">
        <v>523</v>
      </c>
      <c r="I28" s="3" t="s">
        <v>60</v>
      </c>
      <c r="J28" s="3" t="s">
        <v>61</v>
      </c>
      <c r="K28" s="3" t="s">
        <v>153</v>
      </c>
      <c r="L28" s="3" t="s">
        <v>154</v>
      </c>
      <c r="M28" s="3" t="s">
        <v>128</v>
      </c>
      <c r="N28" s="3">
        <v>5000000</v>
      </c>
      <c r="O28" s="3">
        <v>8000000</v>
      </c>
      <c r="P28" s="3" t="s">
        <v>65</v>
      </c>
      <c r="Q28" s="3" t="s">
        <v>66</v>
      </c>
      <c r="R28" s="3" t="s">
        <v>67</v>
      </c>
      <c r="S28" s="3" t="s">
        <v>524</v>
      </c>
      <c r="T28" s="3" t="s">
        <v>69</v>
      </c>
      <c r="U28" s="3" t="s">
        <v>523</v>
      </c>
      <c r="V28" s="3" t="s">
        <v>525</v>
      </c>
      <c r="W28" s="3">
        <v>5400000</v>
      </c>
      <c r="X28" s="3" t="s">
        <v>60</v>
      </c>
      <c r="Y28" s="3" t="s">
        <v>526</v>
      </c>
      <c r="Z28" s="3" t="s">
        <v>200</v>
      </c>
      <c r="AA28" s="3" t="s">
        <v>527</v>
      </c>
      <c r="AB28" s="3" t="s">
        <v>519</v>
      </c>
      <c r="AC28" s="3" t="s">
        <v>185</v>
      </c>
      <c r="AD28" s="3" t="s">
        <v>528</v>
      </c>
      <c r="AE28" s="3" t="s">
        <v>76</v>
      </c>
      <c r="AF28" s="3" t="s">
        <v>77</v>
      </c>
      <c r="AG28" s="3" t="s">
        <v>78</v>
      </c>
      <c r="AH28" s="3" t="s">
        <v>79</v>
      </c>
      <c r="AI28" s="3" t="s">
        <v>80</v>
      </c>
      <c r="AJ28" s="3" t="str">
        <f t="shared" si="0"/>
        <v>-</v>
      </c>
      <c r="AK28" s="7" t="str">
        <f t="shared" si="1"/>
        <v>-</v>
      </c>
      <c r="AL28" s="3" t="str">
        <f t="shared" si="2"/>
        <v>-</v>
      </c>
      <c r="AM28" s="3" t="str">
        <f t="shared" si="3"/>
        <v>-</v>
      </c>
      <c r="AN28" s="3" t="str">
        <f t="shared" si="4"/>
        <v>-</v>
      </c>
      <c r="AO28" s="3" t="str">
        <f t="shared" si="5"/>
        <v>-</v>
      </c>
      <c r="AP28" s="3" t="s">
        <v>529</v>
      </c>
      <c r="AQ28" s="3" t="s">
        <v>82</v>
      </c>
      <c r="AR28" s="3" t="s">
        <v>83</v>
      </c>
      <c r="AS28" s="3">
        <v>1350000</v>
      </c>
      <c r="AT28" s="3">
        <v>702000</v>
      </c>
      <c r="AU28" s="3">
        <v>0</v>
      </c>
      <c r="AV28" s="3">
        <v>6048000</v>
      </c>
      <c r="AW28" s="3" t="s">
        <v>84</v>
      </c>
      <c r="AX28" s="3" t="s">
        <v>85</v>
      </c>
      <c r="AY28" s="3" t="s">
        <v>668</v>
      </c>
      <c r="AZ28" s="3" t="s">
        <v>594</v>
      </c>
      <c r="BA28" s="3" t="str">
        <f>"1400000,400000"</f>
        <v>1400000,400000</v>
      </c>
      <c r="BB28" s="3" t="e">
        <f t="shared" si="6"/>
        <v>#N/A</v>
      </c>
      <c r="BC28" s="3" t="s">
        <v>531</v>
      </c>
      <c r="BD28" s="3" t="s">
        <v>143</v>
      </c>
      <c r="BE28" s="3">
        <v>467500</v>
      </c>
      <c r="BF28" s="3" t="s">
        <v>144</v>
      </c>
    </row>
    <row r="29" spans="1:58" x14ac:dyDescent="0.25">
      <c r="A29" s="3" t="s">
        <v>532</v>
      </c>
      <c r="B29" s="3" t="s">
        <v>533</v>
      </c>
      <c r="C29" s="3" t="s">
        <v>534</v>
      </c>
      <c r="D29" s="3" t="s">
        <v>535</v>
      </c>
      <c r="E29" s="3" t="s">
        <v>95</v>
      </c>
      <c r="F29" s="3" t="s">
        <v>536</v>
      </c>
      <c r="G29" s="3" t="s">
        <v>537</v>
      </c>
      <c r="H29" s="3" t="s">
        <v>538</v>
      </c>
      <c r="I29" s="3" t="s">
        <v>60</v>
      </c>
      <c r="J29" s="3" t="s">
        <v>99</v>
      </c>
      <c r="K29" s="3" t="s">
        <v>100</v>
      </c>
      <c r="L29" s="3" t="s">
        <v>101</v>
      </c>
      <c r="M29" s="3" t="s">
        <v>102</v>
      </c>
      <c r="N29" s="3">
        <v>3500000</v>
      </c>
      <c r="O29" s="3">
        <v>5500000</v>
      </c>
      <c r="P29" s="3" t="s">
        <v>103</v>
      </c>
      <c r="Q29" s="3" t="s">
        <v>104</v>
      </c>
      <c r="R29" s="3" t="s">
        <v>105</v>
      </c>
      <c r="S29" s="3" t="s">
        <v>539</v>
      </c>
      <c r="T29" s="3" t="s">
        <v>69</v>
      </c>
      <c r="U29" s="3" t="s">
        <v>538</v>
      </c>
      <c r="V29" s="3" t="s">
        <v>540</v>
      </c>
      <c r="W29" s="3">
        <v>4700000</v>
      </c>
      <c r="X29" s="3" t="s">
        <v>60</v>
      </c>
      <c r="Y29" s="3" t="s">
        <v>541</v>
      </c>
      <c r="Z29" s="3" t="s">
        <v>136</v>
      </c>
      <c r="AA29" s="3" t="s">
        <v>542</v>
      </c>
      <c r="AB29" s="3" t="s">
        <v>534</v>
      </c>
      <c r="AC29" s="3" t="s">
        <v>185</v>
      </c>
      <c r="AD29" s="3" t="s">
        <v>543</v>
      </c>
      <c r="AE29" s="3" t="s">
        <v>76</v>
      </c>
      <c r="AF29" s="3" t="s">
        <v>77</v>
      </c>
      <c r="AG29" s="3" t="s">
        <v>78</v>
      </c>
      <c r="AH29" s="3" t="s">
        <v>79</v>
      </c>
      <c r="AI29" s="3" t="s">
        <v>80</v>
      </c>
      <c r="AJ29" s="3" t="str">
        <f t="shared" si="0"/>
        <v>-</v>
      </c>
      <c r="AK29" s="7" t="str">
        <f t="shared" si="1"/>
        <v>-</v>
      </c>
      <c r="AL29" s="3" t="str">
        <f t="shared" si="2"/>
        <v>-</v>
      </c>
      <c r="AM29" s="3" t="str">
        <f t="shared" si="3"/>
        <v>-</v>
      </c>
      <c r="AN29" s="3" t="str">
        <f t="shared" si="4"/>
        <v>-</v>
      </c>
      <c r="AO29" s="3" t="str">
        <f t="shared" si="5"/>
        <v>-</v>
      </c>
      <c r="AP29" s="3" t="s">
        <v>544</v>
      </c>
      <c r="AQ29" s="3" t="s">
        <v>82</v>
      </c>
      <c r="AR29" s="3" t="s">
        <v>83</v>
      </c>
      <c r="AS29" s="3">
        <v>1175000</v>
      </c>
      <c r="AT29" s="3">
        <v>611000</v>
      </c>
      <c r="AU29" s="3">
        <v>0</v>
      </c>
      <c r="AV29" s="3">
        <v>5264000</v>
      </c>
      <c r="AW29" s="3" t="s">
        <v>84</v>
      </c>
      <c r="AX29" s="3" t="s">
        <v>85</v>
      </c>
      <c r="AY29" s="3" t="s">
        <v>545</v>
      </c>
      <c r="AZ29" s="3" t="s">
        <v>114</v>
      </c>
      <c r="BA29" s="3">
        <v>600000</v>
      </c>
      <c r="BB29" s="3" t="str">
        <f t="shared" si="6"/>
        <v>Biaya makan</v>
      </c>
      <c r="BC29" s="3" t="s">
        <v>546</v>
      </c>
      <c r="BD29" s="3" t="s">
        <v>89</v>
      </c>
      <c r="BE29" s="3">
        <v>237500</v>
      </c>
      <c r="BF29" s="3" t="s">
        <v>90</v>
      </c>
    </row>
    <row r="30" spans="1:58" x14ac:dyDescent="0.25">
      <c r="A30" s="3" t="s">
        <v>547</v>
      </c>
      <c r="B30" s="3" t="s">
        <v>548</v>
      </c>
      <c r="C30" s="3" t="s">
        <v>549</v>
      </c>
      <c r="D30" s="3" t="s">
        <v>550</v>
      </c>
      <c r="E30" s="3" t="s">
        <v>56</v>
      </c>
      <c r="F30" s="3" t="s">
        <v>551</v>
      </c>
      <c r="G30" s="3" t="s">
        <v>552</v>
      </c>
      <c r="H30" s="3" t="s">
        <v>553</v>
      </c>
      <c r="I30" s="3" t="s">
        <v>60</v>
      </c>
      <c r="J30" s="3" t="s">
        <v>125</v>
      </c>
      <c r="K30" s="3" t="s">
        <v>175</v>
      </c>
      <c r="L30" s="3" t="s">
        <v>176</v>
      </c>
      <c r="M30" s="3" t="s">
        <v>177</v>
      </c>
      <c r="N30" s="3">
        <v>2500000</v>
      </c>
      <c r="O30" s="3">
        <v>3500000</v>
      </c>
      <c r="P30" s="3" t="s">
        <v>129</v>
      </c>
      <c r="Q30" s="3" t="s">
        <v>130</v>
      </c>
      <c r="R30" s="3" t="s">
        <v>131</v>
      </c>
      <c r="S30" s="3" t="s">
        <v>554</v>
      </c>
      <c r="T30" s="3" t="s">
        <v>311</v>
      </c>
      <c r="U30" s="3" t="s">
        <v>553</v>
      </c>
      <c r="V30" s="3" t="s">
        <v>555</v>
      </c>
      <c r="W30" s="3">
        <v>2500000</v>
      </c>
      <c r="X30" s="3" t="s">
        <v>60</v>
      </c>
      <c r="Y30" s="3" t="s">
        <v>556</v>
      </c>
      <c r="Z30" s="3" t="s">
        <v>161</v>
      </c>
      <c r="AA30" s="3" t="s">
        <v>557</v>
      </c>
      <c r="AB30" s="3" t="s">
        <v>549</v>
      </c>
      <c r="AC30" s="3" t="s">
        <v>185</v>
      </c>
      <c r="AD30" s="3" t="s">
        <v>558</v>
      </c>
      <c r="AE30" s="3" t="s">
        <v>76</v>
      </c>
      <c r="AF30" s="3" t="s">
        <v>80</v>
      </c>
      <c r="AG30" s="3" t="s">
        <v>80</v>
      </c>
      <c r="AH30" s="3" t="s">
        <v>269</v>
      </c>
      <c r="AI30" s="3" t="s">
        <v>559</v>
      </c>
      <c r="AJ30" s="3" t="str">
        <f t="shared" si="0"/>
        <v>-</v>
      </c>
      <c r="AK30" s="7" t="str">
        <f t="shared" si="1"/>
        <v>-</v>
      </c>
      <c r="AL30" s="3" t="str">
        <f t="shared" si="2"/>
        <v>-</v>
      </c>
      <c r="AM30" s="3" t="str">
        <f t="shared" si="3"/>
        <v>-</v>
      </c>
      <c r="AN30" s="3" t="str">
        <f t="shared" si="4"/>
        <v>-</v>
      </c>
      <c r="AO30" s="3" t="str">
        <f t="shared" si="5"/>
        <v>-</v>
      </c>
      <c r="AP30" s="3" t="s">
        <v>560</v>
      </c>
      <c r="AQ30" s="3" t="s">
        <v>82</v>
      </c>
      <c r="AR30" s="3" t="s">
        <v>83</v>
      </c>
      <c r="AS30" s="3">
        <v>625000</v>
      </c>
      <c r="AT30" s="3">
        <v>325000</v>
      </c>
      <c r="AU30" s="3">
        <v>0</v>
      </c>
      <c r="AV30" s="3">
        <v>2800000</v>
      </c>
      <c r="AW30" s="3" t="s">
        <v>84</v>
      </c>
      <c r="AX30" s="3" t="s">
        <v>85</v>
      </c>
      <c r="AY30" s="3" t="s">
        <v>561</v>
      </c>
      <c r="AZ30" s="3" t="s">
        <v>141</v>
      </c>
      <c r="BA30" s="3">
        <v>400000</v>
      </c>
      <c r="BB30" s="3" t="str">
        <f t="shared" si="6"/>
        <v>Biaya transport</v>
      </c>
      <c r="BC30" s="3" t="s">
        <v>562</v>
      </c>
      <c r="BD30" s="3" t="s">
        <v>116</v>
      </c>
      <c r="BE30" s="3">
        <v>190000</v>
      </c>
      <c r="BF30" s="3" t="s">
        <v>117</v>
      </c>
    </row>
    <row r="31" spans="1:58" x14ac:dyDescent="0.25">
      <c r="A31" s="3" t="s">
        <v>563</v>
      </c>
      <c r="B31" s="3" t="s">
        <v>564</v>
      </c>
      <c r="C31" s="3" t="s">
        <v>565</v>
      </c>
      <c r="D31" s="3" t="s">
        <v>566</v>
      </c>
      <c r="E31" s="3" t="s">
        <v>95</v>
      </c>
      <c r="F31" s="3" t="s">
        <v>567</v>
      </c>
      <c r="G31" s="3" t="s">
        <v>568</v>
      </c>
      <c r="H31" s="3" t="s">
        <v>569</v>
      </c>
      <c r="I31" s="3" t="s">
        <v>60</v>
      </c>
      <c r="J31" s="3" t="s">
        <v>174</v>
      </c>
      <c r="K31" s="3" t="s">
        <v>153</v>
      </c>
      <c r="L31" s="3" t="s">
        <v>154</v>
      </c>
      <c r="M31" s="3" t="s">
        <v>128</v>
      </c>
      <c r="N31" s="3">
        <v>5000000</v>
      </c>
      <c r="O31" s="3">
        <v>8000000</v>
      </c>
      <c r="P31" s="3" t="s">
        <v>178</v>
      </c>
      <c r="Q31" s="3" t="s">
        <v>179</v>
      </c>
      <c r="R31" s="3" t="s">
        <v>180</v>
      </c>
      <c r="S31" s="3" t="s">
        <v>570</v>
      </c>
      <c r="T31" s="3" t="s">
        <v>69</v>
      </c>
      <c r="U31" s="3" t="s">
        <v>569</v>
      </c>
      <c r="V31" s="3" t="s">
        <v>571</v>
      </c>
      <c r="W31" s="3">
        <v>5600000</v>
      </c>
      <c r="X31" s="3" t="s">
        <v>60</v>
      </c>
      <c r="Y31" s="3" t="s">
        <v>572</v>
      </c>
      <c r="Z31" s="3" t="s">
        <v>72</v>
      </c>
      <c r="AA31" s="3" t="s">
        <v>573</v>
      </c>
      <c r="AB31" s="3" t="s">
        <v>565</v>
      </c>
      <c r="AC31" s="3" t="s">
        <v>185</v>
      </c>
      <c r="AD31" s="3" t="s">
        <v>661</v>
      </c>
      <c r="AE31" s="3" t="s">
        <v>592</v>
      </c>
      <c r="AF31" s="3" t="s">
        <v>588</v>
      </c>
      <c r="AG31" s="3" t="s">
        <v>589</v>
      </c>
      <c r="AH31" s="3" t="s">
        <v>586</v>
      </c>
      <c r="AI31" s="3" t="str">
        <f>"-, Tidak ada keterangan"</f>
        <v>-, Tidak ada keterangan</v>
      </c>
      <c r="AJ31" s="3" t="str">
        <f t="shared" si="0"/>
        <v>-</v>
      </c>
      <c r="AK31" s="7" t="str">
        <f t="shared" si="1"/>
        <v>-</v>
      </c>
      <c r="AL31" s="3" t="str">
        <f t="shared" si="2"/>
        <v>-</v>
      </c>
      <c r="AM31" s="3" t="str">
        <f t="shared" si="3"/>
        <v>-</v>
      </c>
      <c r="AN31" s="3" t="str">
        <f t="shared" si="4"/>
        <v>-</v>
      </c>
      <c r="AO31" s="3" t="str">
        <f t="shared" si="5"/>
        <v>-</v>
      </c>
      <c r="AP31" s="3" t="s">
        <v>575</v>
      </c>
      <c r="AQ31" s="3" t="s">
        <v>82</v>
      </c>
      <c r="AR31" s="3" t="s">
        <v>83</v>
      </c>
      <c r="AS31" s="3">
        <v>1400000</v>
      </c>
      <c r="AT31" s="3">
        <v>728000</v>
      </c>
      <c r="AU31" s="3">
        <v>0</v>
      </c>
      <c r="AV31" s="3">
        <v>6272000</v>
      </c>
      <c r="AW31" s="3" t="s">
        <v>84</v>
      </c>
      <c r="AX31" s="3" t="s">
        <v>85</v>
      </c>
      <c r="AY31" s="3" t="s">
        <v>576</v>
      </c>
      <c r="AZ31" s="3" t="s">
        <v>87</v>
      </c>
      <c r="BA31" s="3">
        <v>1300000</v>
      </c>
      <c r="BB31" s="3" t="str">
        <f t="shared" si="6"/>
        <v>Sesuai jabatan</v>
      </c>
      <c r="BC31" s="3" t="s">
        <v>577</v>
      </c>
      <c r="BD31" s="3" t="s">
        <v>143</v>
      </c>
      <c r="BE31" s="3">
        <v>807500</v>
      </c>
      <c r="BF31" s="3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6EE3C-F49A-43ED-9ABB-C78B6FAA35E6}">
  <dimension ref="A1:BF118"/>
  <sheetViews>
    <sheetView topLeftCell="AA1" zoomScale="73" workbookViewId="0">
      <selection activeCell="AN12" sqref="AN12"/>
    </sheetView>
  </sheetViews>
  <sheetFormatPr defaultRowHeight="15" x14ac:dyDescent="0.25"/>
  <cols>
    <col min="1" max="1" width="13" bestFit="1" customWidth="1"/>
    <col min="2" max="2" width="17.28515625" bestFit="1" customWidth="1"/>
    <col min="3" max="3" width="17.5703125" bestFit="1" customWidth="1"/>
    <col min="4" max="4" width="12.42578125" bestFit="1" customWidth="1"/>
    <col min="5" max="5" width="13.5703125" bestFit="1" customWidth="1"/>
    <col min="6" max="6" width="37.28515625" bestFit="1" customWidth="1"/>
    <col min="7" max="7" width="13.140625" bestFit="1" customWidth="1"/>
    <col min="8" max="8" width="14.28515625" bestFit="1" customWidth="1"/>
    <col min="9" max="9" width="11.28515625" bestFit="1" customWidth="1"/>
    <col min="10" max="10" width="15.28515625" bestFit="1" customWidth="1"/>
    <col min="11" max="11" width="10.7109375" bestFit="1" customWidth="1"/>
    <col min="12" max="12" width="13.5703125" bestFit="1" customWidth="1"/>
    <col min="13" max="13" width="7.140625" bestFit="1" customWidth="1"/>
    <col min="14" max="14" width="15.140625" bestFit="1" customWidth="1"/>
    <col min="15" max="15" width="15.42578125" bestFit="1" customWidth="1"/>
    <col min="16" max="16" width="20.7109375" bestFit="1" customWidth="1"/>
    <col min="17" max="17" width="13.28515625" bestFit="1" customWidth="1"/>
    <col min="18" max="18" width="9.42578125" bestFit="1" customWidth="1"/>
    <col min="19" max="19" width="10.42578125" bestFit="1" customWidth="1"/>
    <col min="20" max="20" width="13.140625" bestFit="1" customWidth="1"/>
    <col min="21" max="21" width="13.5703125" bestFit="1" customWidth="1"/>
    <col min="22" max="22" width="14.7109375" bestFit="1" customWidth="1"/>
    <col min="23" max="23" width="10.5703125" bestFit="1" customWidth="1"/>
    <col min="24" max="24" width="14.140625" bestFit="1" customWidth="1"/>
    <col min="25" max="25" width="11.5703125" bestFit="1" customWidth="1"/>
    <col min="26" max="26" width="11.140625" bestFit="1" customWidth="1"/>
    <col min="27" max="27" width="16.140625" bestFit="1" customWidth="1"/>
    <col min="28" max="28" width="17.5703125" bestFit="1" customWidth="1"/>
    <col min="29" max="29" width="11.42578125" bestFit="1" customWidth="1"/>
    <col min="30" max="30" width="10.42578125" bestFit="1" customWidth="1"/>
    <col min="31" max="31" width="20.7109375" style="2" bestFit="1" customWidth="1"/>
    <col min="32" max="32" width="11" bestFit="1" customWidth="1"/>
    <col min="33" max="33" width="10.85546875" bestFit="1" customWidth="1"/>
    <col min="34" max="34" width="11.85546875" bestFit="1" customWidth="1"/>
    <col min="35" max="35" width="21.85546875" bestFit="1" customWidth="1"/>
    <col min="36" max="36" width="10.140625" bestFit="1" customWidth="1"/>
    <col min="37" max="37" width="15" bestFit="1" customWidth="1"/>
    <col min="38" max="38" width="23.42578125" bestFit="1" customWidth="1"/>
    <col min="39" max="39" width="28.140625" bestFit="1" customWidth="1"/>
    <col min="40" max="40" width="22.7109375" bestFit="1" customWidth="1"/>
    <col min="41" max="41" width="16.7109375" bestFit="1" customWidth="1"/>
    <col min="42" max="42" width="13.5703125" bestFit="1" customWidth="1"/>
    <col min="43" max="43" width="14.140625" bestFit="1" customWidth="1"/>
    <col min="44" max="44" width="14.28515625" bestFit="1" customWidth="1"/>
    <col min="45" max="45" width="15.140625" bestFit="1" customWidth="1"/>
    <col min="46" max="46" width="14.7109375" bestFit="1" customWidth="1"/>
    <col min="47" max="47" width="12.5703125" bestFit="1" customWidth="1"/>
    <col min="48" max="48" width="10.7109375" bestFit="1" customWidth="1"/>
    <col min="49" max="49" width="13.42578125" bestFit="1" customWidth="1"/>
    <col min="50" max="50" width="12.140625" bestFit="1" customWidth="1"/>
    <col min="51" max="51" width="12.5703125" bestFit="1" customWidth="1"/>
    <col min="52" max="52" width="33.28515625" bestFit="1" customWidth="1"/>
    <col min="53" max="53" width="17.28515625" bestFit="1" customWidth="1"/>
    <col min="54" max="54" width="21.140625" bestFit="1" customWidth="1"/>
    <col min="55" max="55" width="12.140625" bestFit="1" customWidth="1"/>
    <col min="56" max="56" width="20.5703125" bestFit="1" customWidth="1"/>
    <col min="57" max="57" width="16.7109375" bestFit="1" customWidth="1"/>
    <col min="58" max="58" width="20.7109375" bestFit="1" customWidth="1"/>
  </cols>
  <sheetData>
    <row r="1" spans="1:5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581</v>
      </c>
      <c r="K1" s="3" t="s">
        <v>580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7" t="s">
        <v>28</v>
      </c>
      <c r="AF1" s="3" t="s">
        <v>29</v>
      </c>
      <c r="AG1" s="3" t="s">
        <v>30</v>
      </c>
      <c r="AH1" s="3" t="s">
        <v>31</v>
      </c>
      <c r="AI1" s="3" t="s">
        <v>579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582</v>
      </c>
      <c r="BB1" s="3" t="s">
        <v>583</v>
      </c>
      <c r="BC1" s="3" t="s">
        <v>49</v>
      </c>
      <c r="BD1" s="3" t="s">
        <v>50</v>
      </c>
      <c r="BE1" s="3" t="s">
        <v>598</v>
      </c>
      <c r="BF1" s="3" t="s">
        <v>578</v>
      </c>
    </row>
    <row r="2" spans="1:58" x14ac:dyDescent="0.25">
      <c r="A2" s="3" t="s">
        <v>52</v>
      </c>
      <c r="B2" s="3" t="s">
        <v>53</v>
      </c>
      <c r="C2" s="3" t="s">
        <v>54</v>
      </c>
      <c r="D2" s="3" t="s">
        <v>55</v>
      </c>
      <c r="E2" s="3" t="s">
        <v>56</v>
      </c>
      <c r="F2" s="3" t="s">
        <v>57</v>
      </c>
      <c r="G2" s="3" t="s">
        <v>58</v>
      </c>
      <c r="H2" s="3" t="s">
        <v>59</v>
      </c>
      <c r="I2" s="3" t="s">
        <v>60</v>
      </c>
      <c r="J2" s="3" t="s">
        <v>61</v>
      </c>
      <c r="K2" s="3" t="s">
        <v>62</v>
      </c>
      <c r="L2" s="3" t="s">
        <v>63</v>
      </c>
      <c r="M2" s="3" t="s">
        <v>64</v>
      </c>
      <c r="N2" s="3">
        <v>8000000</v>
      </c>
      <c r="O2" s="3">
        <v>15000000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59</v>
      </c>
      <c r="V2" s="3" t="s">
        <v>70</v>
      </c>
      <c r="W2" s="3">
        <v>10000000</v>
      </c>
      <c r="X2" s="3" t="s">
        <v>60</v>
      </c>
      <c r="Y2" s="3" t="s">
        <v>71</v>
      </c>
      <c r="Z2" s="3" t="s">
        <v>72</v>
      </c>
      <c r="AA2" s="3" t="s">
        <v>73</v>
      </c>
      <c r="AB2" s="3" t="s">
        <v>54</v>
      </c>
      <c r="AC2" s="3" t="s">
        <v>74</v>
      </c>
      <c r="AD2" s="3" t="s">
        <v>75</v>
      </c>
      <c r="AE2" s="7">
        <v>45754</v>
      </c>
      <c r="AF2" s="8">
        <v>0.33333333333333331</v>
      </c>
      <c r="AG2" s="8">
        <v>0.70833333333333337</v>
      </c>
      <c r="AH2" s="3" t="s">
        <v>79</v>
      </c>
      <c r="AI2" s="3" t="s">
        <v>80</v>
      </c>
      <c r="AJ2" s="3" t="str">
        <f t="shared" ref="AJ2:AJ37" si="0">_xlfn.IFS(
A2="K001","LBR001",
A2="K003","LBR002",
A2="K004","LBR003",
A2="K006","LBR004",
A2="K008","LBR005",
A2="K009","LBR006",
A2="K012","LBR007",
A2="K018","LBR008",
A2="K019","LBR009",
A2="K020","LBR010",
A2="K023","LBR011",
A2="K025","LBR012",
A2="K002","LBR013",
A2="K007","LBR014",
A2="K010","LBR015",
TRUE,"-"
)</f>
        <v>LBR001</v>
      </c>
      <c r="AK2" s="7">
        <f t="shared" ref="AK2:AK37" si="1">_xlfn.IFS(
A2="K001",DATE(2025,4,8),
A2="K003",DATE(2025,4,9),
A2="K004",DATE(2025,4,10),
A2="K006",DATE(2025,4,11),
A2="K008",DATE(2025,4,12),
A2="K009",DATE(2025,4,13),
A2="K012",DATE(2025,4,14),
A2="K018",DATE(2025,4,15),
A2="K019",DATE(2025,4,16),
A2="K020",DATE(2025,4,17),
A2="K023",DATE(2025,4,18),
A2="K025",DATE(2025,4,19),
A2="K002",DATE(2025,4,20),
A2="K007",DATE(2025,4,22),
A2="K010",DATE(2025,4,23),
TRUE,"-"
)</f>
        <v>45755</v>
      </c>
      <c r="AL2" s="3">
        <f t="shared" ref="AL2:AL37" si="2">_xlfn.IFS(
A2="K001",3,
A2="K003",2,
A2="K004",4,
A2="K006",2,
A2="K008",3,
A2="K009",5,
A2="K012",2,
A2="K018",3,
A2="K019",4,
A2="K020",2,
A2="K023",3,
A2="K025",2,
A2="K002",2,
A2="K007",3,
A2="K010",2,
TRUE,"-"
)</f>
        <v>3</v>
      </c>
      <c r="AM2" s="3" t="str">
        <f t="shared" ref="AM2:AM37" si="3">_xlfn.IFS(
A2="K001","Penyelesaian laporan bulanan",
A2="K003","Deploy sistem baru",
A2="K004","Event pemasaran",
A2="K006","Rekrutmen karyawan",
A2="K008","Audit keuangan",
A2="K009","Maintenance server",
A2="K012","Koordinasi SDM",
A2="K018","Rekonsiliasi data",
A2="K019","Pengembangan sistem",
A2="K020","Pameran produk",
A2="K023","Review laporan keuangan",
A2="K025","Koordinasi operasional",
A2="K002","Persiapan penggajian",
A2="K007","Testing aplikasi",
A2="K010","Analisis pasar",
TRUE,"-"
)</f>
        <v>Penyelesaian laporan bulanan</v>
      </c>
      <c r="AN2" s="3" t="str">
        <f t="shared" ref="AN2:AN37" si="4">_xlfn.IFS(
A2="K001","Approved",
A2="K003","Approved",
A2="K004","Approved",
A2="K006","Approved",
A2="K008","Approved",
A2="K009","Approved",
A2="K012","Approved",
A2="K018","Approved",
A2="K019","Approved",
A2="K020","Approved",
A2="K023","Approved",
A2="K025","Approved",
A2="K002","Pending",
A2="K007","Pending",
A2="K010","Pending",
TRUE,"-"
)</f>
        <v>Approved</v>
      </c>
      <c r="AO2" s="3">
        <f t="shared" ref="AO2:AO37" si="5">_xlfn.IFS(
A2="K001",25000,
A2="K003",27500,
A2="K004",22000,
A2="K006",22000,
A2="K008",23000,
A2="K009",27500,
A2="K012",30000,
A2="K018",22000,
A2="K019",27500,
A2="K020",23000,
A2="K023",28000,
A2="K025",29000,
A2="K002",22500,
A2="K007",20000,
A2="K010",21000,
TRUE,"-"
)</f>
        <v>25000</v>
      </c>
      <c r="AP2" s="3" t="s">
        <v>81</v>
      </c>
      <c r="AQ2" s="3" t="s">
        <v>82</v>
      </c>
      <c r="AR2" s="3" t="s">
        <v>83</v>
      </c>
      <c r="AS2" s="3">
        <v>2500000</v>
      </c>
      <c r="AT2" s="3">
        <v>1250000</v>
      </c>
      <c r="AU2" s="3">
        <v>75000</v>
      </c>
      <c r="AV2" s="3">
        <v>11325000</v>
      </c>
      <c r="AW2" s="3" t="s">
        <v>84</v>
      </c>
      <c r="AX2" s="3" t="s">
        <v>85</v>
      </c>
      <c r="AY2" s="3" t="s">
        <v>86</v>
      </c>
      <c r="AZ2" s="3" t="s">
        <v>87</v>
      </c>
      <c r="BA2" s="3">
        <v>1500000</v>
      </c>
      <c r="BB2" s="3" t="str">
        <f>_xlfn.IFS(
AZ2="Tunjangan Jabatan","Sesuai jabatan",
AZ2="Tunjangan Makan","Biaya makan",
AZ2="Tunjangan Transportasi","Biaya transport",
AZ2="Tunjangan Kesehatan","Biaya kesehatan"
)</f>
        <v>Sesuai jabatan</v>
      </c>
      <c r="BC2" s="3" t="s">
        <v>88</v>
      </c>
      <c r="BD2" s="3" t="s">
        <v>89</v>
      </c>
      <c r="BE2" s="3">
        <v>250000</v>
      </c>
      <c r="BF2" s="3" t="s">
        <v>90</v>
      </c>
    </row>
    <row r="3" spans="1:58" x14ac:dyDescent="0.25">
      <c r="A3" s="3" t="s">
        <v>52</v>
      </c>
      <c r="B3" s="3" t="s">
        <v>53</v>
      </c>
      <c r="C3" s="3" t="s">
        <v>54</v>
      </c>
      <c r="D3" s="3" t="s">
        <v>55</v>
      </c>
      <c r="E3" s="3" t="s">
        <v>56</v>
      </c>
      <c r="F3" s="3" t="s">
        <v>57</v>
      </c>
      <c r="G3" s="3" t="s">
        <v>58</v>
      </c>
      <c r="H3" s="3" t="s">
        <v>59</v>
      </c>
      <c r="I3" s="3" t="s">
        <v>60</v>
      </c>
      <c r="J3" s="3" t="s">
        <v>61</v>
      </c>
      <c r="K3" s="3" t="s">
        <v>62</v>
      </c>
      <c r="L3" s="3" t="s">
        <v>63</v>
      </c>
      <c r="M3" s="3" t="s">
        <v>64</v>
      </c>
      <c r="N3" s="3">
        <v>8000000</v>
      </c>
      <c r="O3" s="3">
        <v>15000000</v>
      </c>
      <c r="P3" s="3" t="s">
        <v>65</v>
      </c>
      <c r="Q3" s="3" t="s">
        <v>66</v>
      </c>
      <c r="R3" s="3" t="s">
        <v>67</v>
      </c>
      <c r="S3" s="3" t="s">
        <v>68</v>
      </c>
      <c r="T3" s="3" t="s">
        <v>69</v>
      </c>
      <c r="U3" s="3" t="s">
        <v>59</v>
      </c>
      <c r="V3" s="3" t="s">
        <v>70</v>
      </c>
      <c r="W3" s="3">
        <v>10000000</v>
      </c>
      <c r="X3" s="3" t="s">
        <v>60</v>
      </c>
      <c r="Y3" s="3" t="s">
        <v>71</v>
      </c>
      <c r="Z3" s="3" t="s">
        <v>72</v>
      </c>
      <c r="AA3" s="3" t="s">
        <v>73</v>
      </c>
      <c r="AB3" s="3" t="s">
        <v>54</v>
      </c>
      <c r="AC3" s="3" t="s">
        <v>74</v>
      </c>
      <c r="AD3" s="3" t="s">
        <v>670</v>
      </c>
      <c r="AE3" s="7">
        <v>45758</v>
      </c>
      <c r="AF3" s="3" t="s">
        <v>80</v>
      </c>
      <c r="AG3" s="3" t="s">
        <v>80</v>
      </c>
      <c r="AH3" s="3" t="s">
        <v>220</v>
      </c>
      <c r="AI3" s="3" t="s">
        <v>221</v>
      </c>
      <c r="AJ3" s="3" t="str">
        <f t="shared" ref="AJ3" si="6">_xlfn.IFS(
A3="K001","LBR001",
A3="K003","LBR002",
A3="K004","LBR003",
A3="K006","LBR004",
A3="K008","LBR005",
A3="K009","LBR006",
A3="K012","LBR007",
A3="K018","LBR008",
A3="K019","LBR009",
A3="K020","LBR010",
A3="K023","LBR011",
A3="K025","LBR012",
A3="K002","LBR013",
A3="K007","LBR014",
A3="K010","LBR015",
TRUE,"-"
)</f>
        <v>LBR001</v>
      </c>
      <c r="AK3" s="7">
        <f t="shared" ref="AK3" si="7">_xlfn.IFS(
A3="K001",DATE(2025,4,8),
A3="K003",DATE(2025,4,9),
A3="K004",DATE(2025,4,10),
A3="K006",DATE(2025,4,11),
A3="K008",DATE(2025,4,12),
A3="K009",DATE(2025,4,13),
A3="K012",DATE(2025,4,14),
A3="K018",DATE(2025,4,15),
A3="K019",DATE(2025,4,16),
A3="K020",DATE(2025,4,17),
A3="K023",DATE(2025,4,18),
A3="K025",DATE(2025,4,19),
A3="K002",DATE(2025,4,20),
A3="K007",DATE(2025,4,22),
A3="K010",DATE(2025,4,23),
TRUE,"-"
)</f>
        <v>45755</v>
      </c>
      <c r="AL3" s="3">
        <f t="shared" ref="AL3" si="8">_xlfn.IFS(
A3="K001",3,
A3="K003",2,
A3="K004",4,
A3="K006",2,
A3="K008",3,
A3="K009",5,
A3="K012",2,
A3="K018",3,
A3="K019",4,
A3="K020",2,
A3="K023",3,
A3="K025",2,
A3="K002",2,
A3="K007",3,
A3="K010",2,
TRUE,"-"
)</f>
        <v>3</v>
      </c>
      <c r="AM3" s="3" t="str">
        <f t="shared" ref="AM3" si="9">_xlfn.IFS(
A3="K001","Penyelesaian laporan bulanan",
A3="K003","Deploy sistem baru",
A3="K004","Event pemasaran",
A3="K006","Rekrutmen karyawan",
A3="K008","Audit keuangan",
A3="K009","Maintenance server",
A3="K012","Koordinasi SDM",
A3="K018","Rekonsiliasi data",
A3="K019","Pengembangan sistem",
A3="K020","Pameran produk",
A3="K023","Review laporan keuangan",
A3="K025","Koordinasi operasional",
A3="K002","Persiapan penggajian",
A3="K007","Testing aplikasi",
A3="K010","Analisis pasar",
TRUE,"-"
)</f>
        <v>Penyelesaian laporan bulanan</v>
      </c>
      <c r="AN3" s="3" t="str">
        <f t="shared" ref="AN3" si="10">_xlfn.IFS(
A3="K001","Approved",
A3="K003","Approved",
A3="K004","Approved",
A3="K006","Approved",
A3="K008","Approved",
A3="K009","Approved",
A3="K012","Approved",
A3="K018","Approved",
A3="K019","Approved",
A3="K020","Approved",
A3="K023","Approved",
A3="K025","Approved",
A3="K002","Pending",
A3="K007","Pending",
A3="K010","Pending",
TRUE,"-"
)</f>
        <v>Approved</v>
      </c>
      <c r="AO3" s="3">
        <f t="shared" ref="AO3" si="11">_xlfn.IFS(
A3="K001",25000,
A3="K003",27500,
A3="K004",22000,
A3="K006",22000,
A3="K008",23000,
A3="K009",27500,
A3="K012",30000,
A3="K018",22000,
A3="K019",27500,
A3="K020",23000,
A3="K023",28000,
A3="K025",29000,
A3="K002",22500,
A3="K007",20000,
A3="K010",21000,
TRUE,"-"
)</f>
        <v>25000</v>
      </c>
      <c r="AP3" s="3" t="s">
        <v>81</v>
      </c>
      <c r="AQ3" s="3" t="s">
        <v>82</v>
      </c>
      <c r="AR3" s="3" t="s">
        <v>83</v>
      </c>
      <c r="AS3" s="3">
        <v>2500000</v>
      </c>
      <c r="AT3" s="3">
        <v>1250000</v>
      </c>
      <c r="AU3" s="3">
        <v>75000</v>
      </c>
      <c r="AV3" s="3">
        <f>11325000</f>
        <v>11325000</v>
      </c>
      <c r="AW3" s="3" t="s">
        <v>84</v>
      </c>
      <c r="AX3" s="3" t="s">
        <v>85</v>
      </c>
      <c r="AY3" s="3" t="s">
        <v>86</v>
      </c>
      <c r="AZ3" s="3" t="s">
        <v>87</v>
      </c>
      <c r="BA3" s="3">
        <v>1500000</v>
      </c>
      <c r="BB3" s="3" t="str">
        <f>_xlfn.IFS(
AZ3="Tunjangan Jabatan","Sesuai jabatan",
AZ3="Tunjangan Makan","Biaya makan",
AZ3="Tunjangan Transportasi","Biaya transport",
AZ3="Tunjangan Kesehatan","Biaya kesehatan"
)</f>
        <v>Sesuai jabatan</v>
      </c>
      <c r="BC3" s="3" t="s">
        <v>88</v>
      </c>
      <c r="BD3" s="3" t="s">
        <v>89</v>
      </c>
      <c r="BE3" s="3">
        <v>250000</v>
      </c>
      <c r="BF3" s="3" t="s">
        <v>90</v>
      </c>
    </row>
    <row r="4" spans="1:58" x14ac:dyDescent="0.25">
      <c r="A4" s="3" t="s">
        <v>91</v>
      </c>
      <c r="B4" s="3" t="s">
        <v>92</v>
      </c>
      <c r="C4" s="3" t="s">
        <v>93</v>
      </c>
      <c r="D4" s="3" t="s">
        <v>94</v>
      </c>
      <c r="E4" s="3" t="s">
        <v>95</v>
      </c>
      <c r="F4" s="3" t="s">
        <v>96</v>
      </c>
      <c r="G4" s="3" t="s">
        <v>97</v>
      </c>
      <c r="H4" s="3" t="s">
        <v>98</v>
      </c>
      <c r="I4" s="3" t="s">
        <v>60</v>
      </c>
      <c r="J4" s="3" t="s">
        <v>99</v>
      </c>
      <c r="K4" s="3" t="s">
        <v>100</v>
      </c>
      <c r="L4" s="3" t="s">
        <v>101</v>
      </c>
      <c r="M4" s="3" t="s">
        <v>102</v>
      </c>
      <c r="N4" s="3">
        <v>3500000</v>
      </c>
      <c r="O4" s="3">
        <v>5500000</v>
      </c>
      <c r="P4" s="3" t="s">
        <v>103</v>
      </c>
      <c r="Q4" s="3" t="s">
        <v>104</v>
      </c>
      <c r="R4" s="3" t="s">
        <v>105</v>
      </c>
      <c r="S4" s="3" t="s">
        <v>106</v>
      </c>
      <c r="T4" s="3" t="s">
        <v>69</v>
      </c>
      <c r="U4" s="3" t="s">
        <v>98</v>
      </c>
      <c r="V4" s="3" t="s">
        <v>107</v>
      </c>
      <c r="W4" s="3">
        <v>4500000</v>
      </c>
      <c r="X4" s="3" t="s">
        <v>60</v>
      </c>
      <c r="Y4" s="3" t="s">
        <v>108</v>
      </c>
      <c r="Z4" s="3" t="s">
        <v>109</v>
      </c>
      <c r="AA4" s="3" t="s">
        <v>110</v>
      </c>
      <c r="AB4" s="3" t="s">
        <v>93</v>
      </c>
      <c r="AC4" s="3" t="s">
        <v>74</v>
      </c>
      <c r="AD4" s="3" t="s">
        <v>111</v>
      </c>
      <c r="AE4" s="7" t="s">
        <v>76</v>
      </c>
      <c r="AF4" s="3" t="s">
        <v>77</v>
      </c>
      <c r="AG4" s="3" t="s">
        <v>78</v>
      </c>
      <c r="AH4" s="3" t="s">
        <v>79</v>
      </c>
      <c r="AI4" s="3" t="s">
        <v>80</v>
      </c>
      <c r="AJ4" s="3" t="str">
        <f t="shared" si="0"/>
        <v>LBR013</v>
      </c>
      <c r="AK4" s="7">
        <f t="shared" si="1"/>
        <v>45767</v>
      </c>
      <c r="AL4" s="3">
        <f t="shared" si="2"/>
        <v>2</v>
      </c>
      <c r="AM4" s="3" t="str">
        <f t="shared" si="3"/>
        <v>Persiapan penggajian</v>
      </c>
      <c r="AN4" s="3" t="str">
        <f t="shared" si="4"/>
        <v>Pending</v>
      </c>
      <c r="AO4" s="3">
        <f t="shared" si="5"/>
        <v>22500</v>
      </c>
      <c r="AP4" s="3" t="s">
        <v>112</v>
      </c>
      <c r="AQ4" s="3" t="s">
        <v>82</v>
      </c>
      <c r="AR4" s="3">
        <v>2025</v>
      </c>
      <c r="AS4" s="3">
        <v>1200000</v>
      </c>
      <c r="AT4" s="3">
        <v>600000</v>
      </c>
      <c r="AU4" s="3">
        <v>0</v>
      </c>
      <c r="AV4" s="3">
        <v>5100000</v>
      </c>
      <c r="AW4" s="3" t="s">
        <v>84</v>
      </c>
      <c r="AX4" s="3" t="s">
        <v>85</v>
      </c>
      <c r="AY4" s="3" t="s">
        <v>113</v>
      </c>
      <c r="AZ4" s="3" t="s">
        <v>114</v>
      </c>
      <c r="BA4" s="3">
        <v>600000</v>
      </c>
      <c r="BB4" s="3" t="str">
        <f t="shared" ref="BB4:BB37" si="12">_xlfn.IFS(
AZ4="Tunjangan Jabatan","Sesuai jabatan",
AZ4="Tunjangan Makan","Biaya makan",
AZ4="Tunjangan Transportasi","Biaya transport",
AZ4="Tunjangan Kesehatan","Biaya kesehatan"
)</f>
        <v>Biaya makan</v>
      </c>
      <c r="BC4" s="3" t="s">
        <v>115</v>
      </c>
      <c r="BD4" s="3" t="s">
        <v>116</v>
      </c>
      <c r="BE4" s="3">
        <v>200000</v>
      </c>
      <c r="BF4" s="3" t="s">
        <v>117</v>
      </c>
    </row>
    <row r="5" spans="1:58" x14ac:dyDescent="0.25">
      <c r="A5" s="3" t="s">
        <v>91</v>
      </c>
      <c r="B5" s="3" t="s">
        <v>92</v>
      </c>
      <c r="C5" s="3" t="s">
        <v>93</v>
      </c>
      <c r="D5" s="3" t="s">
        <v>94</v>
      </c>
      <c r="E5" s="3" t="s">
        <v>95</v>
      </c>
      <c r="F5" s="3" t="s">
        <v>96</v>
      </c>
      <c r="G5" s="3" t="s">
        <v>97</v>
      </c>
      <c r="H5" s="3" t="s">
        <v>98</v>
      </c>
      <c r="I5" s="3" t="s">
        <v>60</v>
      </c>
      <c r="J5" s="3" t="s">
        <v>99</v>
      </c>
      <c r="K5" s="3" t="s">
        <v>100</v>
      </c>
      <c r="L5" s="3" t="s">
        <v>101</v>
      </c>
      <c r="M5" s="3" t="s">
        <v>102</v>
      </c>
      <c r="N5" s="3">
        <v>3500000</v>
      </c>
      <c r="O5" s="3">
        <v>5500000</v>
      </c>
      <c r="P5" s="3" t="s">
        <v>103</v>
      </c>
      <c r="Q5" s="3" t="s">
        <v>104</v>
      </c>
      <c r="R5" s="3" t="s">
        <v>105</v>
      </c>
      <c r="S5" s="3" t="s">
        <v>106</v>
      </c>
      <c r="T5" s="3" t="s">
        <v>69</v>
      </c>
      <c r="U5" s="3" t="s">
        <v>98</v>
      </c>
      <c r="V5" s="3" t="s">
        <v>107</v>
      </c>
      <c r="W5" s="3">
        <v>4500000</v>
      </c>
      <c r="X5" s="3" t="s">
        <v>60</v>
      </c>
      <c r="Y5" s="3" t="s">
        <v>108</v>
      </c>
      <c r="Z5" s="3" t="s">
        <v>109</v>
      </c>
      <c r="AA5" s="3" t="s">
        <v>110</v>
      </c>
      <c r="AB5" s="3" t="s">
        <v>93</v>
      </c>
      <c r="AC5" s="3" t="s">
        <v>74</v>
      </c>
      <c r="AD5" s="3" t="s">
        <v>111</v>
      </c>
      <c r="AE5" s="7" t="s">
        <v>76</v>
      </c>
      <c r="AF5" s="3" t="s">
        <v>77</v>
      </c>
      <c r="AG5" s="3" t="s">
        <v>78</v>
      </c>
      <c r="AH5" s="3" t="s">
        <v>79</v>
      </c>
      <c r="AI5" s="3" t="s">
        <v>80</v>
      </c>
      <c r="AJ5" s="3" t="str">
        <f t="shared" ref="AJ5" si="13">_xlfn.IFS(
A5="K001","LBR001",
A5="K003","LBR002",
A5="K004","LBR003",
A5="K006","LBR004",
A5="K008","LBR005",
A5="K009","LBR006",
A5="K012","LBR007",
A5="K018","LBR008",
A5="K019","LBR009",
A5="K020","LBR010",
A5="K023","LBR011",
A5="K025","LBR012",
A5="K002","LBR013",
A5="K007","LBR014",
A5="K010","LBR015",
TRUE,"-"
)</f>
        <v>LBR013</v>
      </c>
      <c r="AK5" s="7">
        <f t="shared" ref="AK5" si="14">_xlfn.IFS(
A5="K001",DATE(2025,4,8),
A5="K003",DATE(2025,4,9),
A5="K004",DATE(2025,4,10),
A5="K006",DATE(2025,4,11),
A5="K008",DATE(2025,4,12),
A5="K009",DATE(2025,4,13),
A5="K012",DATE(2025,4,14),
A5="K018",DATE(2025,4,15),
A5="K019",DATE(2025,4,16),
A5="K020",DATE(2025,4,17),
A5="K023",DATE(2025,4,18),
A5="K025",DATE(2025,4,19),
A5="K002",DATE(2025,4,20),
A5="K007",DATE(2025,4,22),
A5="K010",DATE(2025,4,23),
TRUE,"-"
)</f>
        <v>45767</v>
      </c>
      <c r="AL5" s="3">
        <f t="shared" ref="AL5" si="15">_xlfn.IFS(
A5="K001",3,
A5="K003",2,
A5="K004",4,
A5="K006",2,
A5="K008",3,
A5="K009",5,
A5="K012",2,
A5="K018",3,
A5="K019",4,
A5="K020",2,
A5="K023",3,
A5="K025",2,
A5="K002",2,
A5="K007",3,
A5="K010",2,
TRUE,"-"
)</f>
        <v>2</v>
      </c>
      <c r="AM5" s="3" t="str">
        <f t="shared" ref="AM5" si="16">_xlfn.IFS(
A5="K001","Penyelesaian laporan bulanan",
A5="K003","Deploy sistem baru",
A5="K004","Event pemasaran",
A5="K006","Rekrutmen karyawan",
A5="K008","Audit keuangan",
A5="K009","Maintenance server",
A5="K012","Koordinasi SDM",
A5="K018","Rekonsiliasi data",
A5="K019","Pengembangan sistem",
A5="K020","Pameran produk",
A5="K023","Review laporan keuangan",
A5="K025","Koordinasi operasional",
A5="K002","Persiapan penggajian",
A5="K007","Testing aplikasi",
A5="K010","Analisis pasar",
TRUE,"-"
)</f>
        <v>Persiapan penggajian</v>
      </c>
      <c r="AN5" s="3" t="str">
        <f t="shared" ref="AN5" si="17">_xlfn.IFS(
A5="K001","Approved",
A5="K003","Approved",
A5="K004","Approved",
A5="K006","Approved",
A5="K008","Approved",
A5="K009","Approved",
A5="K012","Approved",
A5="K018","Approved",
A5="K019","Approved",
A5="K020","Approved",
A5="K023","Approved",
A5="K025","Approved",
A5="K002","Pending",
A5="K007","Pending",
A5="K010","Pending",
TRUE,"-"
)</f>
        <v>Pending</v>
      </c>
      <c r="AO5" s="3">
        <f t="shared" ref="AO5" si="18">_xlfn.IFS(
A5="K001",25000,
A5="K003",27500,
A5="K004",22000,
A5="K006",22000,
A5="K008",23000,
A5="K009",27500,
A5="K012",30000,
A5="K018",22000,
A5="K019",27500,
A5="K020",23000,
A5="K023",28000,
A5="K025",29000,
A5="K002",22500,
A5="K007",20000,
A5="K010",21000,
TRUE,"-"
)</f>
        <v>22500</v>
      </c>
      <c r="AP5" s="3" t="s">
        <v>112</v>
      </c>
      <c r="AQ5" s="3" t="s">
        <v>82</v>
      </c>
      <c r="AR5" s="3">
        <v>2025</v>
      </c>
      <c r="AS5" s="3">
        <v>1200000</v>
      </c>
      <c r="AT5" s="3">
        <v>600000</v>
      </c>
      <c r="AU5" s="3">
        <v>0</v>
      </c>
      <c r="AV5" s="3">
        <v>5100000</v>
      </c>
      <c r="AW5" s="3" t="s">
        <v>84</v>
      </c>
      <c r="AX5" s="3" t="s">
        <v>85</v>
      </c>
      <c r="AY5" s="3" t="s">
        <v>664</v>
      </c>
      <c r="AZ5" s="3" t="s">
        <v>87</v>
      </c>
      <c r="BA5" s="3">
        <v>1000000</v>
      </c>
      <c r="BB5" s="3" t="str">
        <f t="shared" ref="BB5" si="19">_xlfn.IFS(
AZ5="Tunjangan Jabatan","Sesuai jabatan",
AZ5="Tunjangan Makan","Biaya makan",
AZ5="Tunjangan Transportasi","Biaya transport",
AZ5="Tunjangan Kesehatan","Biaya kesehatan"
)</f>
        <v>Sesuai jabatan</v>
      </c>
      <c r="BC5" s="3" t="s">
        <v>115</v>
      </c>
      <c r="BD5" s="3" t="s">
        <v>116</v>
      </c>
      <c r="BE5" s="3">
        <v>200000</v>
      </c>
      <c r="BF5" s="3" t="s">
        <v>117</v>
      </c>
    </row>
    <row r="6" spans="1:58" x14ac:dyDescent="0.25">
      <c r="A6" s="3" t="s">
        <v>118</v>
      </c>
      <c r="B6" s="3" t="s">
        <v>119</v>
      </c>
      <c r="C6" s="3" t="s">
        <v>120</v>
      </c>
      <c r="D6" s="3" t="s">
        <v>121</v>
      </c>
      <c r="E6" s="3" t="s">
        <v>56</v>
      </c>
      <c r="F6" s="3" t="s">
        <v>122</v>
      </c>
      <c r="G6" s="3" t="s">
        <v>123</v>
      </c>
      <c r="H6" s="3" t="s">
        <v>124</v>
      </c>
      <c r="I6" s="3" t="s">
        <v>60</v>
      </c>
      <c r="J6" s="3" t="s">
        <v>125</v>
      </c>
      <c r="K6" s="3" t="s">
        <v>126</v>
      </c>
      <c r="L6" s="3" t="s">
        <v>127</v>
      </c>
      <c r="M6" s="3" t="s">
        <v>128</v>
      </c>
      <c r="N6" s="3">
        <v>5500000</v>
      </c>
      <c r="O6" s="3">
        <v>9000000</v>
      </c>
      <c r="P6" s="3" t="s">
        <v>129</v>
      </c>
      <c r="Q6" s="3" t="s">
        <v>130</v>
      </c>
      <c r="R6" s="3" t="s">
        <v>131</v>
      </c>
      <c r="S6" s="3" t="s">
        <v>132</v>
      </c>
      <c r="T6" s="3" t="s">
        <v>133</v>
      </c>
      <c r="U6" s="3" t="s">
        <v>124</v>
      </c>
      <c r="V6" s="3" t="s">
        <v>134</v>
      </c>
      <c r="W6" s="3">
        <v>6000000</v>
      </c>
      <c r="X6" s="3" t="s">
        <v>60</v>
      </c>
      <c r="Y6" s="3" t="s">
        <v>135</v>
      </c>
      <c r="Z6" s="3" t="s">
        <v>136</v>
      </c>
      <c r="AA6" s="3" t="s">
        <v>137</v>
      </c>
      <c r="AB6" s="3" t="s">
        <v>120</v>
      </c>
      <c r="AC6" s="3" t="s">
        <v>74</v>
      </c>
      <c r="AD6" s="3" t="s">
        <v>138</v>
      </c>
      <c r="AE6" s="7" t="s">
        <v>76</v>
      </c>
      <c r="AF6" s="3" t="s">
        <v>77</v>
      </c>
      <c r="AG6" s="3" t="s">
        <v>78</v>
      </c>
      <c r="AH6" s="3" t="s">
        <v>79</v>
      </c>
      <c r="AI6" s="3" t="s">
        <v>80</v>
      </c>
      <c r="AJ6" s="3" t="str">
        <f t="shared" si="0"/>
        <v>LBR002</v>
      </c>
      <c r="AK6" s="7">
        <f t="shared" si="1"/>
        <v>45756</v>
      </c>
      <c r="AL6" s="3">
        <f t="shared" si="2"/>
        <v>2</v>
      </c>
      <c r="AM6" s="3" t="str">
        <f t="shared" si="3"/>
        <v>Deploy sistem baru</v>
      </c>
      <c r="AN6" s="3" t="str">
        <f t="shared" si="4"/>
        <v>Approved</v>
      </c>
      <c r="AO6" s="3">
        <f t="shared" si="5"/>
        <v>27500</v>
      </c>
      <c r="AP6" s="3" t="s">
        <v>139</v>
      </c>
      <c r="AQ6" s="3" t="s">
        <v>82</v>
      </c>
      <c r="AR6" s="3" t="s">
        <v>83</v>
      </c>
      <c r="AS6" s="3">
        <v>1500000</v>
      </c>
      <c r="AT6" s="3">
        <v>780000</v>
      </c>
      <c r="AU6" s="3">
        <v>55000</v>
      </c>
      <c r="AV6" s="3">
        <v>6775000</v>
      </c>
      <c r="AW6" s="3" t="s">
        <v>84</v>
      </c>
      <c r="AX6" s="3" t="s">
        <v>85</v>
      </c>
      <c r="AY6" s="3" t="s">
        <v>140</v>
      </c>
      <c r="AZ6" s="3" t="s">
        <v>141</v>
      </c>
      <c r="BA6" s="3">
        <v>400000</v>
      </c>
      <c r="BB6" s="3" t="str">
        <f t="shared" si="12"/>
        <v>Biaya transport</v>
      </c>
      <c r="BC6" s="3" t="s">
        <v>142</v>
      </c>
      <c r="BD6" s="3" t="s">
        <v>143</v>
      </c>
      <c r="BE6" s="3">
        <v>800000</v>
      </c>
      <c r="BF6" s="3" t="s">
        <v>144</v>
      </c>
    </row>
    <row r="7" spans="1:58" x14ac:dyDescent="0.25">
      <c r="A7" s="3" t="s">
        <v>145</v>
      </c>
      <c r="B7" s="3" t="s">
        <v>146</v>
      </c>
      <c r="C7" s="3" t="s">
        <v>147</v>
      </c>
      <c r="D7" s="3" t="s">
        <v>148</v>
      </c>
      <c r="E7" s="3" t="s">
        <v>95</v>
      </c>
      <c r="F7" s="3" t="s">
        <v>149</v>
      </c>
      <c r="G7" s="3" t="s">
        <v>150</v>
      </c>
      <c r="H7" s="3" t="s">
        <v>151</v>
      </c>
      <c r="I7" s="3" t="s">
        <v>60</v>
      </c>
      <c r="J7" s="3" t="s">
        <v>152</v>
      </c>
      <c r="K7" s="3" t="s">
        <v>153</v>
      </c>
      <c r="L7" s="3" t="s">
        <v>154</v>
      </c>
      <c r="M7" s="3" t="s">
        <v>128</v>
      </c>
      <c r="N7" s="3">
        <v>5000000</v>
      </c>
      <c r="O7" s="3">
        <v>8000000</v>
      </c>
      <c r="P7" s="3" t="s">
        <v>155</v>
      </c>
      <c r="Q7" s="3" t="s">
        <v>156</v>
      </c>
      <c r="R7" s="3" t="s">
        <v>157</v>
      </c>
      <c r="S7" s="3" t="s">
        <v>158</v>
      </c>
      <c r="T7" s="3" t="s">
        <v>69</v>
      </c>
      <c r="U7" s="3" t="s">
        <v>151</v>
      </c>
      <c r="V7" s="3" t="s">
        <v>159</v>
      </c>
      <c r="W7" s="3">
        <v>6500000</v>
      </c>
      <c r="X7" s="3" t="s">
        <v>60</v>
      </c>
      <c r="Y7" s="3" t="s">
        <v>160</v>
      </c>
      <c r="Z7" s="3" t="s">
        <v>161</v>
      </c>
      <c r="AA7" s="3" t="s">
        <v>162</v>
      </c>
      <c r="AB7" s="3" t="s">
        <v>147</v>
      </c>
      <c r="AC7" s="3" t="s">
        <v>74</v>
      </c>
      <c r="AD7" s="3" t="s">
        <v>163</v>
      </c>
      <c r="AE7" s="7" t="s">
        <v>76</v>
      </c>
      <c r="AF7" s="3" t="s">
        <v>77</v>
      </c>
      <c r="AG7" s="3" t="s">
        <v>78</v>
      </c>
      <c r="AH7" s="3" t="s">
        <v>79</v>
      </c>
      <c r="AI7" s="3" t="s">
        <v>80</v>
      </c>
      <c r="AJ7" s="3" t="str">
        <f t="shared" si="0"/>
        <v>LBR003</v>
      </c>
      <c r="AK7" s="7">
        <f t="shared" si="1"/>
        <v>45757</v>
      </c>
      <c r="AL7" s="3">
        <f t="shared" si="2"/>
        <v>4</v>
      </c>
      <c r="AM7" s="3" t="str">
        <f t="shared" si="3"/>
        <v>Event pemasaran</v>
      </c>
      <c r="AN7" s="3" t="str">
        <f t="shared" si="4"/>
        <v>Approved</v>
      </c>
      <c r="AO7" s="3">
        <f t="shared" si="5"/>
        <v>22000</v>
      </c>
      <c r="AP7" s="3" t="s">
        <v>164</v>
      </c>
      <c r="AQ7" s="3" t="s">
        <v>82</v>
      </c>
      <c r="AR7" s="3" t="s">
        <v>83</v>
      </c>
      <c r="AS7" s="3">
        <v>1700000</v>
      </c>
      <c r="AT7" s="3">
        <v>850000</v>
      </c>
      <c r="AU7" s="3">
        <v>88000</v>
      </c>
      <c r="AV7" s="3">
        <v>7438000</v>
      </c>
      <c r="AW7" s="3" t="s">
        <v>84</v>
      </c>
      <c r="AX7" s="3" t="s">
        <v>85</v>
      </c>
      <c r="AY7" s="3" t="s">
        <v>165</v>
      </c>
      <c r="AZ7" s="3" t="s">
        <v>114</v>
      </c>
      <c r="BA7" s="3">
        <v>600000</v>
      </c>
      <c r="BB7" s="3" t="str">
        <f t="shared" si="12"/>
        <v>Biaya makan</v>
      </c>
      <c r="BC7" s="3" t="s">
        <v>166</v>
      </c>
      <c r="BD7" s="3" t="s">
        <v>89</v>
      </c>
      <c r="BE7" s="3">
        <v>112500</v>
      </c>
      <c r="BF7" s="3" t="s">
        <v>90</v>
      </c>
    </row>
    <row r="8" spans="1:58" x14ac:dyDescent="0.25">
      <c r="A8" s="3" t="s">
        <v>167</v>
      </c>
      <c r="B8" s="3" t="s">
        <v>168</v>
      </c>
      <c r="C8" s="3" t="s">
        <v>169</v>
      </c>
      <c r="D8" s="3" t="s">
        <v>170</v>
      </c>
      <c r="E8" s="3" t="s">
        <v>56</v>
      </c>
      <c r="F8" s="3" t="s">
        <v>171</v>
      </c>
      <c r="G8" s="3" t="s">
        <v>172</v>
      </c>
      <c r="H8" s="3" t="s">
        <v>173</v>
      </c>
      <c r="I8" s="3" t="s">
        <v>60</v>
      </c>
      <c r="J8" s="3" t="s">
        <v>174</v>
      </c>
      <c r="K8" s="3" t="s">
        <v>175</v>
      </c>
      <c r="L8" s="3" t="s">
        <v>176</v>
      </c>
      <c r="M8" s="3" t="s">
        <v>177</v>
      </c>
      <c r="N8" s="3">
        <v>2500000</v>
      </c>
      <c r="O8" s="3">
        <v>3500000</v>
      </c>
      <c r="P8" s="3" t="s">
        <v>178</v>
      </c>
      <c r="Q8" s="3" t="s">
        <v>179</v>
      </c>
      <c r="R8" s="3" t="s">
        <v>180</v>
      </c>
      <c r="S8" s="3" t="s">
        <v>181</v>
      </c>
      <c r="T8" s="3" t="s">
        <v>133</v>
      </c>
      <c r="U8" s="3" t="s">
        <v>173</v>
      </c>
      <c r="V8" s="3" t="s">
        <v>182</v>
      </c>
      <c r="W8" s="3">
        <v>2800000</v>
      </c>
      <c r="X8" s="3" t="s">
        <v>60</v>
      </c>
      <c r="Y8" s="3" t="s">
        <v>183</v>
      </c>
      <c r="Z8" s="3" t="s">
        <v>72</v>
      </c>
      <c r="AA8" s="3" t="s">
        <v>184</v>
      </c>
      <c r="AB8" s="3" t="s">
        <v>169</v>
      </c>
      <c r="AC8" s="3" t="s">
        <v>185</v>
      </c>
      <c r="AD8" s="3" t="s">
        <v>186</v>
      </c>
      <c r="AE8" s="7" t="s">
        <v>76</v>
      </c>
      <c r="AF8" s="3" t="s">
        <v>77</v>
      </c>
      <c r="AG8" s="3" t="s">
        <v>78</v>
      </c>
      <c r="AH8" s="3" t="s">
        <v>79</v>
      </c>
      <c r="AI8" s="3" t="s">
        <v>80</v>
      </c>
      <c r="AJ8" s="3" t="str">
        <f t="shared" si="0"/>
        <v>-</v>
      </c>
      <c r="AK8" s="7" t="str">
        <f t="shared" si="1"/>
        <v>-</v>
      </c>
      <c r="AL8" s="3" t="str">
        <f t="shared" si="2"/>
        <v>-</v>
      </c>
      <c r="AM8" s="3" t="str">
        <f t="shared" si="3"/>
        <v>-</v>
      </c>
      <c r="AN8" s="3" t="str">
        <f t="shared" si="4"/>
        <v>-</v>
      </c>
      <c r="AO8" s="3" t="str">
        <f t="shared" si="5"/>
        <v>-</v>
      </c>
      <c r="AP8" s="3" t="s">
        <v>187</v>
      </c>
      <c r="AQ8" s="3" t="s">
        <v>82</v>
      </c>
      <c r="AR8" s="3" t="s">
        <v>83</v>
      </c>
      <c r="AS8" s="3">
        <v>700000</v>
      </c>
      <c r="AT8" s="3">
        <v>364000</v>
      </c>
      <c r="AU8" s="3">
        <v>0</v>
      </c>
      <c r="AV8" s="3">
        <v>3136000</v>
      </c>
      <c r="AW8" s="3" t="s">
        <v>84</v>
      </c>
      <c r="AX8" s="3" t="s">
        <v>85</v>
      </c>
      <c r="AY8" s="3" t="s">
        <v>188</v>
      </c>
      <c r="AZ8" s="3" t="s">
        <v>141</v>
      </c>
      <c r="BA8" s="3">
        <v>400000</v>
      </c>
      <c r="BB8" s="3" t="str">
        <f t="shared" si="12"/>
        <v>Biaya transport</v>
      </c>
      <c r="BC8" s="3" t="s">
        <v>189</v>
      </c>
      <c r="BD8" s="3" t="s">
        <v>116</v>
      </c>
      <c r="BE8" s="3">
        <v>90000</v>
      </c>
      <c r="BF8" s="3" t="s">
        <v>117</v>
      </c>
    </row>
    <row r="9" spans="1:58" x14ac:dyDescent="0.25">
      <c r="A9" s="3" t="s">
        <v>190</v>
      </c>
      <c r="B9" s="3" t="s">
        <v>191</v>
      </c>
      <c r="C9" s="3" t="s">
        <v>192</v>
      </c>
      <c r="D9" s="3" t="s">
        <v>193</v>
      </c>
      <c r="E9" s="3" t="s">
        <v>95</v>
      </c>
      <c r="F9" s="3" t="s">
        <v>194</v>
      </c>
      <c r="G9" s="3" t="s">
        <v>195</v>
      </c>
      <c r="H9" s="3" t="s">
        <v>196</v>
      </c>
      <c r="I9" s="3" t="s">
        <v>60</v>
      </c>
      <c r="J9" s="3" t="s">
        <v>61</v>
      </c>
      <c r="K9" s="3" t="s">
        <v>153</v>
      </c>
      <c r="L9" s="3" t="s">
        <v>154</v>
      </c>
      <c r="M9" s="3" t="s">
        <v>128</v>
      </c>
      <c r="N9" s="3">
        <v>5000000</v>
      </c>
      <c r="O9" s="3">
        <v>8000000</v>
      </c>
      <c r="P9" s="3" t="s">
        <v>65</v>
      </c>
      <c r="Q9" s="3" t="s">
        <v>66</v>
      </c>
      <c r="R9" s="3" t="s">
        <v>67</v>
      </c>
      <c r="S9" s="3" t="s">
        <v>197</v>
      </c>
      <c r="T9" s="3" t="s">
        <v>69</v>
      </c>
      <c r="U9" s="3" t="s">
        <v>196</v>
      </c>
      <c r="V9" s="3" t="s">
        <v>198</v>
      </c>
      <c r="W9" s="3">
        <v>5500000</v>
      </c>
      <c r="X9" s="3" t="s">
        <v>60</v>
      </c>
      <c r="Y9" s="3" t="s">
        <v>199</v>
      </c>
      <c r="Z9" s="3" t="s">
        <v>200</v>
      </c>
      <c r="AA9" s="3" t="s">
        <v>201</v>
      </c>
      <c r="AB9" s="3" t="s">
        <v>192</v>
      </c>
      <c r="AC9" s="3" t="s">
        <v>74</v>
      </c>
      <c r="AD9" s="3" t="s">
        <v>202</v>
      </c>
      <c r="AE9" s="7" t="s">
        <v>76</v>
      </c>
      <c r="AF9" s="3" t="s">
        <v>77</v>
      </c>
      <c r="AG9" s="3" t="s">
        <v>78</v>
      </c>
      <c r="AH9" s="3" t="s">
        <v>79</v>
      </c>
      <c r="AI9" s="3" t="s">
        <v>80</v>
      </c>
      <c r="AJ9" s="3" t="str">
        <f t="shared" si="0"/>
        <v>LBR004</v>
      </c>
      <c r="AK9" s="7">
        <f t="shared" si="1"/>
        <v>45758</v>
      </c>
      <c r="AL9" s="3">
        <f t="shared" si="2"/>
        <v>2</v>
      </c>
      <c r="AM9" s="3" t="str">
        <f t="shared" si="3"/>
        <v>Rekrutmen karyawan</v>
      </c>
      <c r="AN9" s="3" t="str">
        <f t="shared" si="4"/>
        <v>Approved</v>
      </c>
      <c r="AO9" s="3">
        <f t="shared" si="5"/>
        <v>22000</v>
      </c>
      <c r="AP9" s="3" t="s">
        <v>203</v>
      </c>
      <c r="AQ9" s="3" t="s">
        <v>82</v>
      </c>
      <c r="AR9" s="3" t="s">
        <v>83</v>
      </c>
      <c r="AS9" s="3">
        <v>1400000</v>
      </c>
      <c r="AT9" s="3">
        <v>715000</v>
      </c>
      <c r="AU9" s="3">
        <v>44000</v>
      </c>
      <c r="AV9" s="3">
        <v>6229000</v>
      </c>
      <c r="AW9" s="3" t="s">
        <v>84</v>
      </c>
      <c r="AX9" s="3" t="s">
        <v>85</v>
      </c>
      <c r="AY9" s="3" t="s">
        <v>204</v>
      </c>
      <c r="AZ9" s="3" t="s">
        <v>205</v>
      </c>
      <c r="BA9" s="3">
        <v>200000</v>
      </c>
      <c r="BB9" s="3" t="str">
        <f t="shared" si="12"/>
        <v>Biaya kesehatan</v>
      </c>
      <c r="BC9" s="3" t="s">
        <v>206</v>
      </c>
      <c r="BD9" s="3" t="s">
        <v>143</v>
      </c>
      <c r="BE9" s="3">
        <v>397500</v>
      </c>
      <c r="BF9" s="3" t="s">
        <v>144</v>
      </c>
    </row>
    <row r="10" spans="1:58" x14ac:dyDescent="0.25">
      <c r="A10" s="3" t="s">
        <v>207</v>
      </c>
      <c r="B10" s="3" t="s">
        <v>208</v>
      </c>
      <c r="C10" s="3" t="s">
        <v>209</v>
      </c>
      <c r="D10" s="3" t="s">
        <v>210</v>
      </c>
      <c r="E10" s="3" t="s">
        <v>56</v>
      </c>
      <c r="F10" s="3" t="s">
        <v>211</v>
      </c>
      <c r="G10" s="3" t="s">
        <v>212</v>
      </c>
      <c r="H10" s="3" t="s">
        <v>213</v>
      </c>
      <c r="I10" s="3" t="s">
        <v>60</v>
      </c>
      <c r="J10" s="3" t="s">
        <v>125</v>
      </c>
      <c r="K10" s="3" t="s">
        <v>175</v>
      </c>
      <c r="L10" s="3" t="s">
        <v>176</v>
      </c>
      <c r="M10" s="3" t="s">
        <v>177</v>
      </c>
      <c r="N10" s="3">
        <v>2500000</v>
      </c>
      <c r="O10" s="3">
        <v>3500000</v>
      </c>
      <c r="P10" s="3" t="s">
        <v>129</v>
      </c>
      <c r="Q10" s="3" t="s">
        <v>130</v>
      </c>
      <c r="R10" s="3" t="s">
        <v>131</v>
      </c>
      <c r="S10" s="3" t="s">
        <v>214</v>
      </c>
      <c r="T10" s="3" t="s">
        <v>133</v>
      </c>
      <c r="U10" s="3" t="s">
        <v>213</v>
      </c>
      <c r="V10" s="3" t="s">
        <v>215</v>
      </c>
      <c r="W10" s="3">
        <v>2800000</v>
      </c>
      <c r="X10" s="3" t="s">
        <v>60</v>
      </c>
      <c r="Y10" s="3" t="s">
        <v>216</v>
      </c>
      <c r="Z10" s="3" t="s">
        <v>109</v>
      </c>
      <c r="AA10" s="3" t="s">
        <v>217</v>
      </c>
      <c r="AB10" s="3" t="s">
        <v>209</v>
      </c>
      <c r="AC10" s="3" t="s">
        <v>218</v>
      </c>
      <c r="AD10" s="3" t="s">
        <v>219</v>
      </c>
      <c r="AE10" s="7" t="s">
        <v>76</v>
      </c>
      <c r="AF10" s="3" t="s">
        <v>80</v>
      </c>
      <c r="AG10" s="3" t="s">
        <v>80</v>
      </c>
      <c r="AH10" s="3" t="s">
        <v>220</v>
      </c>
      <c r="AI10" s="3" t="s">
        <v>221</v>
      </c>
      <c r="AJ10" s="3" t="str">
        <f t="shared" si="0"/>
        <v>LBR014</v>
      </c>
      <c r="AK10" s="7">
        <f t="shared" si="1"/>
        <v>45769</v>
      </c>
      <c r="AL10" s="3">
        <f t="shared" si="2"/>
        <v>3</v>
      </c>
      <c r="AM10" s="3" t="str">
        <f t="shared" si="3"/>
        <v>Testing aplikasi</v>
      </c>
      <c r="AN10" s="3" t="str">
        <f t="shared" si="4"/>
        <v>Pending</v>
      </c>
      <c r="AO10" s="3">
        <f t="shared" si="5"/>
        <v>20000</v>
      </c>
      <c r="AP10" s="3" t="s">
        <v>222</v>
      </c>
      <c r="AQ10" s="3" t="s">
        <v>82</v>
      </c>
      <c r="AR10" s="3" t="s">
        <v>83</v>
      </c>
      <c r="AS10" s="3">
        <v>700000</v>
      </c>
      <c r="AT10" s="3">
        <v>364000</v>
      </c>
      <c r="AU10" s="3">
        <v>60000</v>
      </c>
      <c r="AV10" s="3">
        <v>3196000</v>
      </c>
      <c r="AW10" s="3" t="s">
        <v>84</v>
      </c>
      <c r="AX10" s="3" t="s">
        <v>85</v>
      </c>
      <c r="AY10" s="3" t="s">
        <v>223</v>
      </c>
      <c r="AZ10" s="3" t="s">
        <v>87</v>
      </c>
      <c r="BA10" s="3">
        <v>700000</v>
      </c>
      <c r="BB10" s="3" t="str">
        <f t="shared" si="12"/>
        <v>Sesuai jabatan</v>
      </c>
      <c r="BC10" s="3" t="s">
        <v>224</v>
      </c>
      <c r="BD10" s="3" t="s">
        <v>89</v>
      </c>
      <c r="BE10" s="3">
        <v>150000</v>
      </c>
      <c r="BF10" s="3" t="s">
        <v>90</v>
      </c>
    </row>
    <row r="11" spans="1:58" x14ac:dyDescent="0.25">
      <c r="A11" s="3" t="s">
        <v>225</v>
      </c>
      <c r="B11" s="3" t="s">
        <v>226</v>
      </c>
      <c r="C11" s="3" t="s">
        <v>227</v>
      </c>
      <c r="D11" s="3" t="s">
        <v>228</v>
      </c>
      <c r="E11" s="3" t="s">
        <v>95</v>
      </c>
      <c r="F11" s="3" t="s">
        <v>229</v>
      </c>
      <c r="G11" s="3" t="s">
        <v>230</v>
      </c>
      <c r="H11" s="3" t="s">
        <v>231</v>
      </c>
      <c r="I11" s="3" t="s">
        <v>60</v>
      </c>
      <c r="J11" s="3" t="s">
        <v>99</v>
      </c>
      <c r="K11" s="3" t="s">
        <v>153</v>
      </c>
      <c r="L11" s="3" t="s">
        <v>154</v>
      </c>
      <c r="M11" s="3" t="s">
        <v>128</v>
      </c>
      <c r="N11" s="3">
        <v>5000000</v>
      </c>
      <c r="O11" s="3">
        <v>8000000</v>
      </c>
      <c r="P11" s="3" t="s">
        <v>103</v>
      </c>
      <c r="Q11" s="3" t="s">
        <v>104</v>
      </c>
      <c r="R11" s="3" t="s">
        <v>105</v>
      </c>
      <c r="S11" s="3" t="s">
        <v>232</v>
      </c>
      <c r="T11" s="3" t="s">
        <v>69</v>
      </c>
      <c r="U11" s="3" t="s">
        <v>231</v>
      </c>
      <c r="V11" s="3" t="s">
        <v>233</v>
      </c>
      <c r="W11" s="3">
        <v>5800000</v>
      </c>
      <c r="X11" s="3" t="s">
        <v>60</v>
      </c>
      <c r="Y11" s="3" t="s">
        <v>234</v>
      </c>
      <c r="Z11" s="3" t="s">
        <v>72</v>
      </c>
      <c r="AA11" s="3" t="s">
        <v>235</v>
      </c>
      <c r="AB11" s="3" t="s">
        <v>227</v>
      </c>
      <c r="AC11" s="3" t="s">
        <v>185</v>
      </c>
      <c r="AD11" s="3" t="s">
        <v>236</v>
      </c>
      <c r="AE11" s="7" t="s">
        <v>76</v>
      </c>
      <c r="AF11" s="3" t="s">
        <v>77</v>
      </c>
      <c r="AG11" s="3" t="s">
        <v>78</v>
      </c>
      <c r="AH11" s="3" t="s">
        <v>79</v>
      </c>
      <c r="AI11" s="3" t="s">
        <v>80</v>
      </c>
      <c r="AJ11" s="3" t="str">
        <f t="shared" si="0"/>
        <v>LBR005</v>
      </c>
      <c r="AK11" s="7">
        <f t="shared" si="1"/>
        <v>45759</v>
      </c>
      <c r="AL11" s="3">
        <f t="shared" si="2"/>
        <v>3</v>
      </c>
      <c r="AM11" s="3" t="str">
        <f t="shared" si="3"/>
        <v>Audit keuangan</v>
      </c>
      <c r="AN11" s="3" t="str">
        <f t="shared" si="4"/>
        <v>Approved</v>
      </c>
      <c r="AO11" s="3">
        <f t="shared" si="5"/>
        <v>23000</v>
      </c>
      <c r="AP11" s="3" t="s">
        <v>237</v>
      </c>
      <c r="AQ11" s="3" t="s">
        <v>82</v>
      </c>
      <c r="AR11" s="3" t="s">
        <v>83</v>
      </c>
      <c r="AS11" s="3">
        <v>1500000</v>
      </c>
      <c r="AT11" s="3">
        <v>754000</v>
      </c>
      <c r="AU11" s="3">
        <v>69000</v>
      </c>
      <c r="AV11" s="3">
        <v>6615000</v>
      </c>
      <c r="AW11" s="3" t="s">
        <v>84</v>
      </c>
      <c r="AX11" s="3" t="s">
        <v>85</v>
      </c>
      <c r="AY11" s="3" t="s">
        <v>238</v>
      </c>
      <c r="AZ11" s="3" t="s">
        <v>114</v>
      </c>
      <c r="BA11" s="3">
        <v>500000</v>
      </c>
      <c r="BB11" s="3" t="str">
        <f t="shared" si="12"/>
        <v>Biaya makan</v>
      </c>
      <c r="BC11" s="3" t="s">
        <v>239</v>
      </c>
      <c r="BD11" s="3" t="s">
        <v>116</v>
      </c>
      <c r="BE11" s="3">
        <v>120000</v>
      </c>
      <c r="BF11" s="3" t="s">
        <v>117</v>
      </c>
    </row>
    <row r="12" spans="1:58" x14ac:dyDescent="0.25">
      <c r="A12" s="3" t="s">
        <v>240</v>
      </c>
      <c r="B12" s="3" t="s">
        <v>241</v>
      </c>
      <c r="C12" s="3" t="s">
        <v>242</v>
      </c>
      <c r="D12" s="3" t="s">
        <v>243</v>
      </c>
      <c r="E12" s="3" t="s">
        <v>56</v>
      </c>
      <c r="F12" s="3" t="s">
        <v>244</v>
      </c>
      <c r="G12" s="3" t="s">
        <v>245</v>
      </c>
      <c r="H12" s="3" t="s">
        <v>246</v>
      </c>
      <c r="I12" s="3" t="s">
        <v>60</v>
      </c>
      <c r="J12" s="3" t="s">
        <v>125</v>
      </c>
      <c r="K12" s="3" t="s">
        <v>247</v>
      </c>
      <c r="L12" s="3" t="s">
        <v>248</v>
      </c>
      <c r="M12" s="3" t="s">
        <v>128</v>
      </c>
      <c r="N12" s="3">
        <v>5000000</v>
      </c>
      <c r="O12" s="3">
        <v>8500000</v>
      </c>
      <c r="P12" s="3" t="s">
        <v>129</v>
      </c>
      <c r="Q12" s="3" t="s">
        <v>130</v>
      </c>
      <c r="R12" s="3" t="s">
        <v>131</v>
      </c>
      <c r="S12" s="3" t="s">
        <v>249</v>
      </c>
      <c r="T12" s="3" t="s">
        <v>133</v>
      </c>
      <c r="U12" s="3" t="s">
        <v>246</v>
      </c>
      <c r="V12" s="3" t="s">
        <v>250</v>
      </c>
      <c r="W12" s="3">
        <v>5500000</v>
      </c>
      <c r="X12" s="3" t="s">
        <v>60</v>
      </c>
      <c r="Y12" s="3" t="s">
        <v>251</v>
      </c>
      <c r="Z12" s="3" t="s">
        <v>136</v>
      </c>
      <c r="AA12" s="3" t="s">
        <v>252</v>
      </c>
      <c r="AB12" s="3" t="s">
        <v>242</v>
      </c>
      <c r="AC12" s="3" t="s">
        <v>74</v>
      </c>
      <c r="AD12" s="3" t="s">
        <v>253</v>
      </c>
      <c r="AE12" s="7" t="s">
        <v>76</v>
      </c>
      <c r="AF12" s="3" t="s">
        <v>77</v>
      </c>
      <c r="AG12" s="3" t="s">
        <v>78</v>
      </c>
      <c r="AH12" s="3" t="s">
        <v>79</v>
      </c>
      <c r="AI12" s="3" t="s">
        <v>80</v>
      </c>
      <c r="AJ12" s="3" t="str">
        <f t="shared" si="0"/>
        <v>LBR006</v>
      </c>
      <c r="AK12" s="7">
        <f t="shared" si="1"/>
        <v>45760</v>
      </c>
      <c r="AL12" s="3">
        <f t="shared" si="2"/>
        <v>5</v>
      </c>
      <c r="AM12" s="3" t="str">
        <f t="shared" si="3"/>
        <v>Maintenance server</v>
      </c>
      <c r="AN12" s="3" t="str">
        <f t="shared" si="4"/>
        <v>Approved</v>
      </c>
      <c r="AO12" s="3">
        <f t="shared" si="5"/>
        <v>27500</v>
      </c>
      <c r="AP12" s="3" t="s">
        <v>254</v>
      </c>
      <c r="AQ12" s="3" t="s">
        <v>82</v>
      </c>
      <c r="AR12" s="3" t="s">
        <v>83</v>
      </c>
      <c r="AS12" s="3">
        <v>1400000</v>
      </c>
      <c r="AT12" s="3">
        <v>715000</v>
      </c>
      <c r="AU12" s="3">
        <v>137500</v>
      </c>
      <c r="AV12" s="3">
        <v>6322500</v>
      </c>
      <c r="AW12" s="3" t="s">
        <v>84</v>
      </c>
      <c r="AX12" s="3" t="s">
        <v>85</v>
      </c>
      <c r="AY12" s="3" t="s">
        <v>255</v>
      </c>
      <c r="AZ12" s="3" t="s">
        <v>141</v>
      </c>
      <c r="BA12" s="3">
        <v>300000</v>
      </c>
      <c r="BB12" s="3" t="str">
        <f t="shared" si="12"/>
        <v>Biaya transport</v>
      </c>
      <c r="BC12" s="3" t="s">
        <v>256</v>
      </c>
      <c r="BD12" s="3" t="s">
        <v>143</v>
      </c>
      <c r="BE12" s="3">
        <v>510000</v>
      </c>
      <c r="BF12" s="3" t="s">
        <v>144</v>
      </c>
    </row>
    <row r="13" spans="1:58" x14ac:dyDescent="0.25">
      <c r="A13" s="3" t="s">
        <v>257</v>
      </c>
      <c r="B13" s="3" t="s">
        <v>258</v>
      </c>
      <c r="C13" s="3" t="s">
        <v>259</v>
      </c>
      <c r="D13" s="3" t="s">
        <v>260</v>
      </c>
      <c r="E13" s="3" t="s">
        <v>95</v>
      </c>
      <c r="F13" s="3" t="s">
        <v>261</v>
      </c>
      <c r="G13" s="3" t="s">
        <v>262</v>
      </c>
      <c r="H13" s="3" t="s">
        <v>263</v>
      </c>
      <c r="I13" s="3" t="s">
        <v>60</v>
      </c>
      <c r="J13" s="3" t="s">
        <v>152</v>
      </c>
      <c r="K13" s="3" t="s">
        <v>100</v>
      </c>
      <c r="L13" s="3" t="s">
        <v>101</v>
      </c>
      <c r="M13" s="3" t="s">
        <v>102</v>
      </c>
      <c r="N13" s="3">
        <v>3500000</v>
      </c>
      <c r="O13" s="3">
        <v>5500000</v>
      </c>
      <c r="P13" s="3" t="s">
        <v>155</v>
      </c>
      <c r="Q13" s="3" t="s">
        <v>156</v>
      </c>
      <c r="R13" s="3" t="s">
        <v>157</v>
      </c>
      <c r="S13" s="3" t="s">
        <v>264</v>
      </c>
      <c r="T13" s="3" t="s">
        <v>69</v>
      </c>
      <c r="U13" s="3" t="s">
        <v>263</v>
      </c>
      <c r="V13" s="3" t="s">
        <v>265</v>
      </c>
      <c r="W13" s="3">
        <v>4800000</v>
      </c>
      <c r="X13" s="3" t="s">
        <v>60</v>
      </c>
      <c r="Y13" s="3" t="s">
        <v>266</v>
      </c>
      <c r="Z13" s="3" t="s">
        <v>161</v>
      </c>
      <c r="AA13" s="3" t="s">
        <v>267</v>
      </c>
      <c r="AB13" s="3" t="s">
        <v>259</v>
      </c>
      <c r="AC13" s="3" t="s">
        <v>185</v>
      </c>
      <c r="AD13" s="3" t="s">
        <v>268</v>
      </c>
      <c r="AE13" s="7" t="s">
        <v>76</v>
      </c>
      <c r="AF13" s="3" t="s">
        <v>80</v>
      </c>
      <c r="AG13" s="3" t="s">
        <v>80</v>
      </c>
      <c r="AH13" s="3" t="s">
        <v>269</v>
      </c>
      <c r="AI13" s="3" t="s">
        <v>270</v>
      </c>
      <c r="AJ13" s="3" t="str">
        <f t="shared" si="0"/>
        <v>LBR015</v>
      </c>
      <c r="AK13" s="7">
        <f t="shared" si="1"/>
        <v>45770</v>
      </c>
      <c r="AL13" s="3">
        <f t="shared" si="2"/>
        <v>2</v>
      </c>
      <c r="AM13" s="3" t="str">
        <f t="shared" si="3"/>
        <v>Analisis pasar</v>
      </c>
      <c r="AN13" s="3" t="str">
        <f t="shared" si="4"/>
        <v>Pending</v>
      </c>
      <c r="AO13" s="3">
        <f t="shared" si="5"/>
        <v>21000</v>
      </c>
      <c r="AP13" s="3" t="s">
        <v>271</v>
      </c>
      <c r="AQ13" s="3" t="s">
        <v>82</v>
      </c>
      <c r="AR13" s="3" t="s">
        <v>83</v>
      </c>
      <c r="AS13" s="3">
        <v>1200000</v>
      </c>
      <c r="AT13" s="3">
        <v>624000</v>
      </c>
      <c r="AU13" s="3">
        <v>0</v>
      </c>
      <c r="AV13" s="3">
        <v>5376000</v>
      </c>
      <c r="AW13" s="3" t="s">
        <v>84</v>
      </c>
      <c r="AX13" s="3" t="s">
        <v>85</v>
      </c>
      <c r="AY13" s="3" t="s">
        <v>272</v>
      </c>
      <c r="AZ13" s="3" t="s">
        <v>87</v>
      </c>
      <c r="BA13" s="3">
        <v>900000</v>
      </c>
      <c r="BB13" s="3" t="str">
        <f t="shared" si="12"/>
        <v>Sesuai jabatan</v>
      </c>
      <c r="BC13" s="3" t="s">
        <v>273</v>
      </c>
      <c r="BD13" s="3" t="s">
        <v>89</v>
      </c>
      <c r="BE13" s="3">
        <v>162500</v>
      </c>
      <c r="BF13" s="3" t="s">
        <v>90</v>
      </c>
    </row>
    <row r="14" spans="1:58" x14ac:dyDescent="0.25">
      <c r="A14" s="3" t="s">
        <v>274</v>
      </c>
      <c r="B14" s="3" t="s">
        <v>275</v>
      </c>
      <c r="C14" s="3" t="s">
        <v>276</v>
      </c>
      <c r="D14" s="3" t="s">
        <v>277</v>
      </c>
      <c r="E14" s="3" t="s">
        <v>56</v>
      </c>
      <c r="F14" s="3" t="s">
        <v>278</v>
      </c>
      <c r="G14" s="3" t="s">
        <v>279</v>
      </c>
      <c r="H14" s="3" t="s">
        <v>280</v>
      </c>
      <c r="I14" s="3" t="s">
        <v>60</v>
      </c>
      <c r="J14" s="3" t="s">
        <v>174</v>
      </c>
      <c r="K14" s="3" t="s">
        <v>175</v>
      </c>
      <c r="L14" s="3" t="s">
        <v>176</v>
      </c>
      <c r="M14" s="3" t="s">
        <v>177</v>
      </c>
      <c r="N14" s="3">
        <v>2500000</v>
      </c>
      <c r="O14" s="3">
        <v>3500000</v>
      </c>
      <c r="P14" s="3" t="s">
        <v>178</v>
      </c>
      <c r="Q14" s="3" t="s">
        <v>179</v>
      </c>
      <c r="R14" s="3" t="s">
        <v>180</v>
      </c>
      <c r="S14" s="3" t="s">
        <v>281</v>
      </c>
      <c r="T14" s="3" t="s">
        <v>133</v>
      </c>
      <c r="U14" s="3" t="s">
        <v>280</v>
      </c>
      <c r="V14" s="3" t="s">
        <v>182</v>
      </c>
      <c r="W14" s="3">
        <v>2800000</v>
      </c>
      <c r="X14" s="3" t="s">
        <v>60</v>
      </c>
      <c r="Y14" s="3" t="s">
        <v>282</v>
      </c>
      <c r="Z14" s="3" t="s">
        <v>109</v>
      </c>
      <c r="AA14" s="3" t="s">
        <v>283</v>
      </c>
      <c r="AB14" s="3" t="s">
        <v>276</v>
      </c>
      <c r="AC14" s="3" t="s">
        <v>74</v>
      </c>
      <c r="AD14" s="3" t="s">
        <v>284</v>
      </c>
      <c r="AE14" s="7" t="s">
        <v>76</v>
      </c>
      <c r="AF14" s="3" t="s">
        <v>77</v>
      </c>
      <c r="AG14" s="3" t="s">
        <v>78</v>
      </c>
      <c r="AH14" s="3" t="s">
        <v>79</v>
      </c>
      <c r="AI14" s="3" t="s">
        <v>80</v>
      </c>
      <c r="AJ14" s="3" t="str">
        <f t="shared" si="0"/>
        <v>-</v>
      </c>
      <c r="AK14" s="7" t="str">
        <f t="shared" si="1"/>
        <v>-</v>
      </c>
      <c r="AL14" s="3" t="str">
        <f t="shared" si="2"/>
        <v>-</v>
      </c>
      <c r="AM14" s="3" t="str">
        <f t="shared" si="3"/>
        <v>-</v>
      </c>
      <c r="AN14" s="3" t="str">
        <f t="shared" si="4"/>
        <v>-</v>
      </c>
      <c r="AO14" s="3" t="str">
        <f t="shared" si="5"/>
        <v>-</v>
      </c>
      <c r="AP14" s="3" t="s">
        <v>285</v>
      </c>
      <c r="AQ14" s="3" t="s">
        <v>82</v>
      </c>
      <c r="AR14" s="3" t="s">
        <v>83</v>
      </c>
      <c r="AS14" s="3">
        <v>700000</v>
      </c>
      <c r="AT14" s="3">
        <v>364000</v>
      </c>
      <c r="AU14" s="3">
        <v>0</v>
      </c>
      <c r="AV14" s="3">
        <v>3136000</v>
      </c>
      <c r="AW14" s="3" t="s">
        <v>84</v>
      </c>
      <c r="AX14" s="3" t="s">
        <v>85</v>
      </c>
      <c r="AY14" s="3" t="s">
        <v>286</v>
      </c>
      <c r="AZ14" s="3" t="s">
        <v>114</v>
      </c>
      <c r="BA14" s="3">
        <v>500000</v>
      </c>
      <c r="BB14" s="3" t="str">
        <f t="shared" si="12"/>
        <v>Biaya makan</v>
      </c>
      <c r="BC14" s="3" t="s">
        <v>287</v>
      </c>
      <c r="BD14" s="3" t="s">
        <v>116</v>
      </c>
      <c r="BE14" s="3">
        <v>130000</v>
      </c>
      <c r="BF14" s="3" t="s">
        <v>117</v>
      </c>
    </row>
    <row r="15" spans="1:58" x14ac:dyDescent="0.25">
      <c r="A15" s="3" t="s">
        <v>288</v>
      </c>
      <c r="B15" s="3" t="s">
        <v>289</v>
      </c>
      <c r="C15" s="3" t="s">
        <v>290</v>
      </c>
      <c r="D15" s="3" t="s">
        <v>291</v>
      </c>
      <c r="E15" s="3" t="s">
        <v>95</v>
      </c>
      <c r="F15" s="3" t="s">
        <v>292</v>
      </c>
      <c r="G15" s="3" t="s">
        <v>293</v>
      </c>
      <c r="H15" s="3" t="s">
        <v>294</v>
      </c>
      <c r="I15" s="3" t="s">
        <v>60</v>
      </c>
      <c r="J15" s="3" t="s">
        <v>61</v>
      </c>
      <c r="K15" s="3" t="s">
        <v>62</v>
      </c>
      <c r="L15" s="3" t="s">
        <v>63</v>
      </c>
      <c r="M15" s="3" t="s">
        <v>64</v>
      </c>
      <c r="N15" s="3">
        <v>8000000</v>
      </c>
      <c r="O15" s="3">
        <v>15000000</v>
      </c>
      <c r="P15" s="3" t="s">
        <v>65</v>
      </c>
      <c r="Q15" s="3" t="s">
        <v>66</v>
      </c>
      <c r="R15" s="3" t="s">
        <v>67</v>
      </c>
      <c r="S15" s="3" t="s">
        <v>295</v>
      </c>
      <c r="T15" s="3" t="s">
        <v>69</v>
      </c>
      <c r="U15" s="3" t="s">
        <v>294</v>
      </c>
      <c r="V15" s="3" t="s">
        <v>296</v>
      </c>
      <c r="W15" s="3">
        <v>9500000</v>
      </c>
      <c r="X15" s="3" t="s">
        <v>60</v>
      </c>
      <c r="Y15" s="3" t="s">
        <v>297</v>
      </c>
      <c r="Z15" s="3" t="s">
        <v>72</v>
      </c>
      <c r="AA15" s="3" t="s">
        <v>298</v>
      </c>
      <c r="AB15" s="3" t="s">
        <v>290</v>
      </c>
      <c r="AC15" s="3" t="s">
        <v>185</v>
      </c>
      <c r="AD15" s="3" t="s">
        <v>299</v>
      </c>
      <c r="AE15" s="7" t="s">
        <v>76</v>
      </c>
      <c r="AF15" s="3" t="s">
        <v>77</v>
      </c>
      <c r="AG15" s="3" t="s">
        <v>78</v>
      </c>
      <c r="AH15" s="3" t="s">
        <v>79</v>
      </c>
      <c r="AI15" s="3" t="s">
        <v>80</v>
      </c>
      <c r="AJ15" s="3" t="str">
        <f t="shared" si="0"/>
        <v>LBR007</v>
      </c>
      <c r="AK15" s="7">
        <f t="shared" si="1"/>
        <v>45761</v>
      </c>
      <c r="AL15" s="3">
        <f t="shared" si="2"/>
        <v>2</v>
      </c>
      <c r="AM15" s="3" t="str">
        <f t="shared" si="3"/>
        <v>Koordinasi SDM</v>
      </c>
      <c r="AN15" s="3" t="str">
        <f t="shared" si="4"/>
        <v>Approved</v>
      </c>
      <c r="AO15" s="3">
        <f t="shared" si="5"/>
        <v>30000</v>
      </c>
      <c r="AP15" s="3" t="s">
        <v>300</v>
      </c>
      <c r="AQ15" s="3" t="s">
        <v>82</v>
      </c>
      <c r="AR15" s="3" t="s">
        <v>83</v>
      </c>
      <c r="AS15" s="3">
        <v>2400000</v>
      </c>
      <c r="AT15" s="3">
        <v>1235000</v>
      </c>
      <c r="AU15" s="3">
        <v>60000</v>
      </c>
      <c r="AV15" s="3">
        <v>10725000</v>
      </c>
      <c r="AW15" s="3" t="s">
        <v>84</v>
      </c>
      <c r="AX15" s="3" t="s">
        <v>85</v>
      </c>
      <c r="AY15" s="3" t="s">
        <v>301</v>
      </c>
      <c r="AZ15" s="3" t="s">
        <v>141</v>
      </c>
      <c r="BA15" s="3">
        <v>300000</v>
      </c>
      <c r="BB15" s="3" t="str">
        <f t="shared" si="12"/>
        <v>Biaya transport</v>
      </c>
      <c r="BC15" s="3" t="s">
        <v>302</v>
      </c>
      <c r="BD15" s="3" t="s">
        <v>143</v>
      </c>
      <c r="BE15" s="3">
        <v>557500</v>
      </c>
      <c r="BF15" s="3" t="s">
        <v>144</v>
      </c>
    </row>
    <row r="16" spans="1:58" x14ac:dyDescent="0.25">
      <c r="A16" s="3" t="s">
        <v>303</v>
      </c>
      <c r="B16" s="3" t="s">
        <v>304</v>
      </c>
      <c r="C16" s="3" t="s">
        <v>305</v>
      </c>
      <c r="D16" s="3" t="s">
        <v>306</v>
      </c>
      <c r="E16" s="3" t="s">
        <v>56</v>
      </c>
      <c r="F16" s="3" t="s">
        <v>307</v>
      </c>
      <c r="G16" s="3" t="s">
        <v>308</v>
      </c>
      <c r="H16" s="3" t="s">
        <v>309</v>
      </c>
      <c r="I16" s="3" t="s">
        <v>60</v>
      </c>
      <c r="J16" s="3" t="s">
        <v>125</v>
      </c>
      <c r="K16" s="3" t="s">
        <v>175</v>
      </c>
      <c r="L16" s="3" t="s">
        <v>176</v>
      </c>
      <c r="M16" s="3" t="s">
        <v>177</v>
      </c>
      <c r="N16" s="3">
        <v>2500000</v>
      </c>
      <c r="O16" s="3">
        <v>3500000</v>
      </c>
      <c r="P16" s="3" t="s">
        <v>129</v>
      </c>
      <c r="Q16" s="3" t="s">
        <v>130</v>
      </c>
      <c r="R16" s="3" t="s">
        <v>131</v>
      </c>
      <c r="S16" s="3" t="s">
        <v>310</v>
      </c>
      <c r="T16" s="3" t="s">
        <v>311</v>
      </c>
      <c r="U16" s="3" t="s">
        <v>309</v>
      </c>
      <c r="V16" s="3" t="s">
        <v>296</v>
      </c>
      <c r="W16" s="3">
        <v>2500000</v>
      </c>
      <c r="X16" s="3" t="s">
        <v>60</v>
      </c>
      <c r="Y16" s="3" t="s">
        <v>312</v>
      </c>
      <c r="Z16" s="3" t="s">
        <v>109</v>
      </c>
      <c r="AA16" s="3" t="s">
        <v>313</v>
      </c>
      <c r="AB16" s="3" t="s">
        <v>305</v>
      </c>
      <c r="AC16" s="3" t="s">
        <v>74</v>
      </c>
      <c r="AD16" s="3" t="s">
        <v>314</v>
      </c>
      <c r="AE16" s="7" t="s">
        <v>76</v>
      </c>
      <c r="AF16" s="3" t="s">
        <v>77</v>
      </c>
      <c r="AG16" s="3" t="s">
        <v>78</v>
      </c>
      <c r="AH16" s="3" t="s">
        <v>79</v>
      </c>
      <c r="AI16" s="3" t="s">
        <v>80</v>
      </c>
      <c r="AJ16" s="3" t="str">
        <f t="shared" si="0"/>
        <v>-</v>
      </c>
      <c r="AK16" s="7" t="str">
        <f t="shared" si="1"/>
        <v>-</v>
      </c>
      <c r="AL16" s="3" t="str">
        <f t="shared" si="2"/>
        <v>-</v>
      </c>
      <c r="AM16" s="3" t="str">
        <f t="shared" si="3"/>
        <v>-</v>
      </c>
      <c r="AN16" s="3" t="str">
        <f t="shared" si="4"/>
        <v>-</v>
      </c>
      <c r="AO16" s="3" t="str">
        <f t="shared" si="5"/>
        <v>-</v>
      </c>
      <c r="AP16" s="3" t="s">
        <v>315</v>
      </c>
      <c r="AQ16" s="3" t="s">
        <v>82</v>
      </c>
      <c r="AR16" s="3" t="s">
        <v>83</v>
      </c>
      <c r="AS16" s="3">
        <v>625000</v>
      </c>
      <c r="AT16" s="3">
        <v>325000</v>
      </c>
      <c r="AU16" s="3">
        <v>0</v>
      </c>
      <c r="AV16" s="3">
        <v>2800000</v>
      </c>
      <c r="AW16" s="3" t="s">
        <v>84</v>
      </c>
      <c r="AX16" s="3" t="s">
        <v>85</v>
      </c>
      <c r="AY16" s="3" t="s">
        <v>316</v>
      </c>
      <c r="AZ16" s="3" t="s">
        <v>114</v>
      </c>
      <c r="BA16" s="3">
        <v>400000</v>
      </c>
      <c r="BB16" s="3" t="str">
        <f t="shared" si="12"/>
        <v>Biaya makan</v>
      </c>
      <c r="BC16" s="3" t="s">
        <v>317</v>
      </c>
      <c r="BD16" s="3" t="s">
        <v>89</v>
      </c>
      <c r="BE16" s="3">
        <v>70000</v>
      </c>
      <c r="BF16" s="3" t="s">
        <v>90</v>
      </c>
    </row>
    <row r="17" spans="1:58" x14ac:dyDescent="0.25">
      <c r="A17" s="3" t="s">
        <v>318</v>
      </c>
      <c r="B17" s="3" t="s">
        <v>319</v>
      </c>
      <c r="C17" s="3" t="s">
        <v>320</v>
      </c>
      <c r="D17" s="3" t="s">
        <v>321</v>
      </c>
      <c r="E17" s="3" t="s">
        <v>95</v>
      </c>
      <c r="F17" s="3" t="s">
        <v>322</v>
      </c>
      <c r="G17" s="3" t="s">
        <v>323</v>
      </c>
      <c r="H17" s="3" t="s">
        <v>324</v>
      </c>
      <c r="I17" s="3" t="s">
        <v>60</v>
      </c>
      <c r="J17" s="3" t="s">
        <v>99</v>
      </c>
      <c r="K17" s="3" t="s">
        <v>100</v>
      </c>
      <c r="L17" s="3" t="s">
        <v>101</v>
      </c>
      <c r="M17" s="3" t="s">
        <v>102</v>
      </c>
      <c r="N17" s="3">
        <v>3500000</v>
      </c>
      <c r="O17" s="3">
        <v>5500000</v>
      </c>
      <c r="P17" s="3" t="s">
        <v>103</v>
      </c>
      <c r="Q17" s="3" t="s">
        <v>104</v>
      </c>
      <c r="R17" s="3" t="s">
        <v>105</v>
      </c>
      <c r="S17" s="3" t="s">
        <v>325</v>
      </c>
      <c r="T17" s="3" t="s">
        <v>69</v>
      </c>
      <c r="U17" s="3" t="s">
        <v>324</v>
      </c>
      <c r="V17" s="3" t="s">
        <v>326</v>
      </c>
      <c r="W17" s="3">
        <v>4600000</v>
      </c>
      <c r="X17" s="3" t="s">
        <v>60</v>
      </c>
      <c r="Y17" s="3" t="s">
        <v>327</v>
      </c>
      <c r="Z17" s="3" t="s">
        <v>136</v>
      </c>
      <c r="AA17" s="3" t="s">
        <v>328</v>
      </c>
      <c r="AB17" s="3" t="s">
        <v>320</v>
      </c>
      <c r="AC17" s="3" t="s">
        <v>185</v>
      </c>
      <c r="AD17" s="3" t="s">
        <v>329</v>
      </c>
      <c r="AE17" s="7">
        <v>45754</v>
      </c>
      <c r="AF17" s="8">
        <v>0.33333333333333331</v>
      </c>
      <c r="AG17" s="8">
        <v>0.70833333333333337</v>
      </c>
      <c r="AH17" s="3" t="s">
        <v>79</v>
      </c>
      <c r="AI17" s="3" t="s">
        <v>80</v>
      </c>
      <c r="AJ17" s="3" t="str">
        <f t="shared" si="0"/>
        <v>-</v>
      </c>
      <c r="AK17" s="7" t="str">
        <f t="shared" si="1"/>
        <v>-</v>
      </c>
      <c r="AL17" s="3" t="str">
        <f t="shared" si="2"/>
        <v>-</v>
      </c>
      <c r="AM17" s="3" t="str">
        <f t="shared" si="3"/>
        <v>-</v>
      </c>
      <c r="AN17" s="3" t="str">
        <f t="shared" si="4"/>
        <v>-</v>
      </c>
      <c r="AO17" s="3" t="str">
        <f t="shared" si="5"/>
        <v>-</v>
      </c>
      <c r="AP17" s="3" t="s">
        <v>330</v>
      </c>
      <c r="AQ17" s="3" t="s">
        <v>82</v>
      </c>
      <c r="AR17" s="3" t="s">
        <v>83</v>
      </c>
      <c r="AS17" s="3">
        <v>1150000</v>
      </c>
      <c r="AT17" s="3">
        <v>598000</v>
      </c>
      <c r="AU17" s="3">
        <v>0</v>
      </c>
      <c r="AV17" s="3">
        <v>5152000</v>
      </c>
      <c r="AW17" s="3" t="s">
        <v>84</v>
      </c>
      <c r="AX17" s="3" t="s">
        <v>85</v>
      </c>
      <c r="AY17" s="3" t="s">
        <v>331</v>
      </c>
      <c r="AZ17" s="3" t="s">
        <v>141</v>
      </c>
      <c r="BA17" s="3">
        <v>300000</v>
      </c>
      <c r="BB17" s="3" t="str">
        <f t="shared" si="12"/>
        <v>Biaya transport</v>
      </c>
      <c r="BC17" s="3" t="s">
        <v>332</v>
      </c>
      <c r="BD17" s="3" t="s">
        <v>116</v>
      </c>
      <c r="BE17" s="3">
        <v>56000</v>
      </c>
      <c r="BF17" s="3" t="s">
        <v>117</v>
      </c>
    </row>
    <row r="18" spans="1:58" x14ac:dyDescent="0.25">
      <c r="A18" s="3" t="s">
        <v>318</v>
      </c>
      <c r="B18" s="3" t="s">
        <v>319</v>
      </c>
      <c r="C18" s="3" t="s">
        <v>320</v>
      </c>
      <c r="D18" s="3" t="s">
        <v>321</v>
      </c>
      <c r="E18" s="3" t="s">
        <v>95</v>
      </c>
      <c r="F18" s="3" t="s">
        <v>322</v>
      </c>
      <c r="G18" s="3" t="s">
        <v>323</v>
      </c>
      <c r="H18" s="3" t="s">
        <v>324</v>
      </c>
      <c r="I18" s="3" t="s">
        <v>60</v>
      </c>
      <c r="J18" s="3" t="s">
        <v>99</v>
      </c>
      <c r="K18" s="3" t="s">
        <v>100</v>
      </c>
      <c r="L18" s="3" t="s">
        <v>101</v>
      </c>
      <c r="M18" s="3" t="s">
        <v>102</v>
      </c>
      <c r="N18" s="3">
        <v>3500000</v>
      </c>
      <c r="O18" s="3">
        <v>5500000</v>
      </c>
      <c r="P18" s="3" t="s">
        <v>103</v>
      </c>
      <c r="Q18" s="3" t="s">
        <v>104</v>
      </c>
      <c r="R18" s="3" t="s">
        <v>105</v>
      </c>
      <c r="S18" s="3" t="s">
        <v>325</v>
      </c>
      <c r="T18" s="3" t="s">
        <v>69</v>
      </c>
      <c r="U18" s="3" t="s">
        <v>324</v>
      </c>
      <c r="V18" s="3" t="s">
        <v>326</v>
      </c>
      <c r="W18" s="3">
        <v>4600000</v>
      </c>
      <c r="X18" s="3" t="s">
        <v>60</v>
      </c>
      <c r="Y18" s="3" t="s">
        <v>327</v>
      </c>
      <c r="Z18" s="3" t="s">
        <v>136</v>
      </c>
      <c r="AA18" s="3" t="s">
        <v>328</v>
      </c>
      <c r="AB18" s="3" t="s">
        <v>320</v>
      </c>
      <c r="AC18" s="3" t="s">
        <v>185</v>
      </c>
      <c r="AD18" s="3" t="s">
        <v>662</v>
      </c>
      <c r="AE18" s="7">
        <v>45757</v>
      </c>
      <c r="AF18" s="3" t="s">
        <v>80</v>
      </c>
      <c r="AG18" s="3" t="s">
        <v>80</v>
      </c>
      <c r="AH18" s="3" t="s">
        <v>269</v>
      </c>
      <c r="AI18" s="3" t="s">
        <v>595</v>
      </c>
      <c r="AJ18" s="3" t="str">
        <f t="shared" ref="AJ18" si="20">_xlfn.IFS(
A18="K001","LBR001",
A18="K003","LBR002",
A18="K004","LBR003",
A18="K006","LBR004",
A18="K008","LBR005",
A18="K009","LBR006",
A18="K012","LBR007",
A18="K018","LBR008",
A18="K019","LBR009",
A18="K020","LBR010",
A18="K023","LBR011",
A18="K025","LBR012",
A18="K002","LBR013",
A18="K007","LBR014",
A18="K010","LBR015",
TRUE,"-"
)</f>
        <v>-</v>
      </c>
      <c r="AK18" s="7" t="str">
        <f t="shared" ref="AK18" si="21">_xlfn.IFS(
A18="K001",DATE(2025,4,8),
A18="K003",DATE(2025,4,9),
A18="K004",DATE(2025,4,10),
A18="K006",DATE(2025,4,11),
A18="K008",DATE(2025,4,12),
A18="K009",DATE(2025,4,13),
A18="K012",DATE(2025,4,14),
A18="K018",DATE(2025,4,15),
A18="K019",DATE(2025,4,16),
A18="K020",DATE(2025,4,17),
A18="K023",DATE(2025,4,18),
A18="K025",DATE(2025,4,19),
A18="K002",DATE(2025,4,20),
A18="K007",DATE(2025,4,22),
A18="K010",DATE(2025,4,23),
TRUE,"-"
)</f>
        <v>-</v>
      </c>
      <c r="AL18" s="3" t="str">
        <f t="shared" ref="AL18" si="22">_xlfn.IFS(
A18="K001",3,
A18="K003",2,
A18="K004",4,
A18="K006",2,
A18="K008",3,
A18="K009",5,
A18="K012",2,
A18="K018",3,
A18="K019",4,
A18="K020",2,
A18="K023",3,
A18="K025",2,
A18="K002",2,
A18="K007",3,
A18="K010",2,
TRUE,"-"
)</f>
        <v>-</v>
      </c>
      <c r="AM18" s="3" t="str">
        <f t="shared" ref="AM18" si="23">_xlfn.IFS(
A18="K001","Penyelesaian laporan bulanan",
A18="K003","Deploy sistem baru",
A18="K004","Event pemasaran",
A18="K006","Rekrutmen karyawan",
A18="K008","Audit keuangan",
A18="K009","Maintenance server",
A18="K012","Koordinasi SDM",
A18="K018","Rekonsiliasi data",
A18="K019","Pengembangan sistem",
A18="K020","Pameran produk",
A18="K023","Review laporan keuangan",
A18="K025","Koordinasi operasional",
A18="K002","Persiapan penggajian",
A18="K007","Testing aplikasi",
A18="K010","Analisis pasar",
TRUE,"-"
)</f>
        <v>-</v>
      </c>
      <c r="AN18" s="3" t="str">
        <f t="shared" ref="AN18" si="24">_xlfn.IFS(
A18="K001","Approved",
A18="K003","Approved",
A18="K004","Approved",
A18="K006","Approved",
A18="K008","Approved",
A18="K009","Approved",
A18="K012","Approved",
A18="K018","Approved",
A18="K019","Approved",
A18="K020","Approved",
A18="K023","Approved",
A18="K025","Approved",
A18="K002","Pending",
A18="K007","Pending",
A18="K010","Pending",
TRUE,"-"
)</f>
        <v>-</v>
      </c>
      <c r="AO18" s="3" t="str">
        <f t="shared" ref="AO18" si="25">_xlfn.IFS(
A18="K001",25000,
A18="K003",27500,
A18="K004",22000,
A18="K006",22000,
A18="K008",23000,
A18="K009",27500,
A18="K012",30000,
A18="K018",22000,
A18="K019",27500,
A18="K020",23000,
A18="K023",28000,
A18="K025",29000,
A18="K002",22500,
A18="K007",20000,
A18="K010",21000,
TRUE,"-"
)</f>
        <v>-</v>
      </c>
      <c r="AP18" s="3" t="s">
        <v>330</v>
      </c>
      <c r="AQ18" s="3" t="s">
        <v>82</v>
      </c>
      <c r="AR18" s="3" t="s">
        <v>83</v>
      </c>
      <c r="AS18" s="3">
        <v>1150000</v>
      </c>
      <c r="AT18" s="3">
        <v>598000</v>
      </c>
      <c r="AU18" s="3">
        <v>0</v>
      </c>
      <c r="AV18" s="3">
        <v>5152000</v>
      </c>
      <c r="AW18" s="3" t="s">
        <v>84</v>
      </c>
      <c r="AX18" s="3" t="s">
        <v>85</v>
      </c>
      <c r="AY18" s="3" t="s">
        <v>331</v>
      </c>
      <c r="AZ18" s="3" t="s">
        <v>141</v>
      </c>
      <c r="BA18" s="3">
        <v>300000</v>
      </c>
      <c r="BB18" s="3" t="str">
        <f t="shared" ref="BB18" si="26">_xlfn.IFS(
AZ18="Tunjangan Jabatan","Sesuai jabatan",
AZ18="Tunjangan Makan","Biaya makan",
AZ18="Tunjangan Transportasi","Biaya transport",
AZ18="Tunjangan Kesehatan","Biaya kesehatan"
)</f>
        <v>Biaya transport</v>
      </c>
      <c r="BC18" s="3" t="s">
        <v>332</v>
      </c>
      <c r="BD18" s="3" t="s">
        <v>116</v>
      </c>
      <c r="BE18" s="3">
        <v>56000</v>
      </c>
      <c r="BF18" s="3" t="s">
        <v>117</v>
      </c>
    </row>
    <row r="19" spans="1:58" x14ac:dyDescent="0.25">
      <c r="A19" s="3" t="s">
        <v>333</v>
      </c>
      <c r="B19" s="3" t="s">
        <v>334</v>
      </c>
      <c r="C19" s="3" t="s">
        <v>335</v>
      </c>
      <c r="D19" s="3" t="s">
        <v>336</v>
      </c>
      <c r="E19" s="3" t="s">
        <v>56</v>
      </c>
      <c r="F19" s="3" t="s">
        <v>337</v>
      </c>
      <c r="G19" s="3" t="s">
        <v>338</v>
      </c>
      <c r="H19" s="3" t="s">
        <v>339</v>
      </c>
      <c r="I19" s="3" t="s">
        <v>60</v>
      </c>
      <c r="J19" s="3" t="s">
        <v>152</v>
      </c>
      <c r="K19" s="3" t="s">
        <v>175</v>
      </c>
      <c r="L19" s="3" t="s">
        <v>176</v>
      </c>
      <c r="M19" s="3" t="s">
        <v>177</v>
      </c>
      <c r="N19" s="3">
        <v>2500000</v>
      </c>
      <c r="O19" s="3">
        <v>3500000</v>
      </c>
      <c r="P19" s="3" t="s">
        <v>155</v>
      </c>
      <c r="Q19" s="3" t="s">
        <v>156</v>
      </c>
      <c r="R19" s="3" t="s">
        <v>157</v>
      </c>
      <c r="S19" s="3" t="s">
        <v>340</v>
      </c>
      <c r="T19" s="3" t="s">
        <v>133</v>
      </c>
      <c r="U19" s="3" t="s">
        <v>339</v>
      </c>
      <c r="V19" s="3" t="s">
        <v>341</v>
      </c>
      <c r="W19" s="3">
        <v>2800000</v>
      </c>
      <c r="X19" s="3" t="s">
        <v>60</v>
      </c>
      <c r="Y19" s="3" t="s">
        <v>342</v>
      </c>
      <c r="Z19" s="3" t="s">
        <v>161</v>
      </c>
      <c r="AA19" s="3" t="s">
        <v>343</v>
      </c>
      <c r="AB19" s="3" t="s">
        <v>335</v>
      </c>
      <c r="AC19" s="3" t="s">
        <v>185</v>
      </c>
      <c r="AD19" s="3" t="s">
        <v>344</v>
      </c>
      <c r="AE19" s="7" t="s">
        <v>76</v>
      </c>
      <c r="AF19" s="3" t="s">
        <v>77</v>
      </c>
      <c r="AG19" s="3" t="s">
        <v>78</v>
      </c>
      <c r="AH19" s="3" t="s">
        <v>79</v>
      </c>
      <c r="AI19" s="3" t="s">
        <v>80</v>
      </c>
      <c r="AJ19" s="3" t="str">
        <f t="shared" si="0"/>
        <v>-</v>
      </c>
      <c r="AK19" s="7" t="str">
        <f t="shared" si="1"/>
        <v>-</v>
      </c>
      <c r="AL19" s="3" t="str">
        <f t="shared" si="2"/>
        <v>-</v>
      </c>
      <c r="AM19" s="3" t="str">
        <f t="shared" si="3"/>
        <v>-</v>
      </c>
      <c r="AN19" s="3" t="str">
        <f t="shared" si="4"/>
        <v>-</v>
      </c>
      <c r="AO19" s="3" t="str">
        <f t="shared" si="5"/>
        <v>-</v>
      </c>
      <c r="AP19" s="3" t="s">
        <v>345</v>
      </c>
      <c r="AQ19" s="3" t="s">
        <v>82</v>
      </c>
      <c r="AR19" s="3" t="s">
        <v>83</v>
      </c>
      <c r="AS19" s="3">
        <v>700000</v>
      </c>
      <c r="AT19" s="3">
        <v>364000</v>
      </c>
      <c r="AU19" s="3">
        <v>0</v>
      </c>
      <c r="AV19" s="3">
        <v>3136000</v>
      </c>
      <c r="AW19" s="3" t="s">
        <v>84</v>
      </c>
      <c r="AX19" s="3" t="s">
        <v>85</v>
      </c>
      <c r="AY19" s="3" t="s">
        <v>346</v>
      </c>
      <c r="AZ19" s="3" t="s">
        <v>87</v>
      </c>
      <c r="BA19" s="3" t="str">
        <f>"700000"</f>
        <v>700000</v>
      </c>
      <c r="BB19" s="3" t="str">
        <f t="shared" si="12"/>
        <v>Sesuai jabatan</v>
      </c>
      <c r="BC19" s="3" t="s">
        <v>347</v>
      </c>
      <c r="BD19" s="3" t="s">
        <v>143</v>
      </c>
      <c r="BE19" s="3">
        <v>238000</v>
      </c>
      <c r="BF19" s="3" t="s">
        <v>144</v>
      </c>
    </row>
    <row r="20" spans="1:58" x14ac:dyDescent="0.25">
      <c r="A20" s="3" t="s">
        <v>333</v>
      </c>
      <c r="B20" s="3" t="s">
        <v>334</v>
      </c>
      <c r="C20" s="3" t="s">
        <v>335</v>
      </c>
      <c r="D20" s="3" t="s">
        <v>336</v>
      </c>
      <c r="E20" s="3" t="s">
        <v>56</v>
      </c>
      <c r="F20" s="3" t="s">
        <v>337</v>
      </c>
      <c r="G20" s="3" t="s">
        <v>338</v>
      </c>
      <c r="H20" s="3" t="s">
        <v>339</v>
      </c>
      <c r="I20" s="3" t="s">
        <v>60</v>
      </c>
      <c r="J20" s="3" t="s">
        <v>152</v>
      </c>
      <c r="K20" s="3" t="s">
        <v>175</v>
      </c>
      <c r="L20" s="3" t="s">
        <v>176</v>
      </c>
      <c r="M20" s="3" t="s">
        <v>177</v>
      </c>
      <c r="N20" s="3">
        <v>2500000</v>
      </c>
      <c r="O20" s="3">
        <v>3500000</v>
      </c>
      <c r="P20" s="3" t="s">
        <v>155</v>
      </c>
      <c r="Q20" s="3" t="s">
        <v>156</v>
      </c>
      <c r="R20" s="3" t="s">
        <v>157</v>
      </c>
      <c r="S20" s="3" t="s">
        <v>340</v>
      </c>
      <c r="T20" s="3" t="s">
        <v>133</v>
      </c>
      <c r="U20" s="3" t="s">
        <v>339</v>
      </c>
      <c r="V20" s="3" t="s">
        <v>341</v>
      </c>
      <c r="W20" s="3">
        <v>2800000</v>
      </c>
      <c r="X20" s="3" t="s">
        <v>60</v>
      </c>
      <c r="Y20" s="3" t="s">
        <v>342</v>
      </c>
      <c r="Z20" s="3" t="s">
        <v>161</v>
      </c>
      <c r="AA20" s="3" t="s">
        <v>343</v>
      </c>
      <c r="AB20" s="3" t="s">
        <v>335</v>
      </c>
      <c r="AC20" s="3" t="s">
        <v>185</v>
      </c>
      <c r="AD20" s="3" t="s">
        <v>344</v>
      </c>
      <c r="AE20" s="7" t="s">
        <v>76</v>
      </c>
      <c r="AF20" s="3" t="s">
        <v>77</v>
      </c>
      <c r="AG20" s="3" t="s">
        <v>78</v>
      </c>
      <c r="AH20" s="3" t="s">
        <v>79</v>
      </c>
      <c r="AI20" s="3" t="s">
        <v>80</v>
      </c>
      <c r="AJ20" s="3" t="str">
        <f t="shared" ref="AJ20" si="27">_xlfn.IFS(
A20="K001","LBR001",
A20="K003","LBR002",
A20="K004","LBR003",
A20="K006","LBR004",
A20="K008","LBR005",
A20="K009","LBR006",
A20="K012","LBR007",
A20="K018","LBR008",
A20="K019","LBR009",
A20="K020","LBR010",
A20="K023","LBR011",
A20="K025","LBR012",
A20="K002","LBR013",
A20="K007","LBR014",
A20="K010","LBR015",
TRUE,"-"
)</f>
        <v>-</v>
      </c>
      <c r="AK20" s="7" t="str">
        <f t="shared" ref="AK20" si="28">_xlfn.IFS(
A20="K001",DATE(2025,4,8),
A20="K003",DATE(2025,4,9),
A20="K004",DATE(2025,4,10),
A20="K006",DATE(2025,4,11),
A20="K008",DATE(2025,4,12),
A20="K009",DATE(2025,4,13),
A20="K012",DATE(2025,4,14),
A20="K018",DATE(2025,4,15),
A20="K019",DATE(2025,4,16),
A20="K020",DATE(2025,4,17),
A20="K023",DATE(2025,4,18),
A20="K025",DATE(2025,4,19),
A20="K002",DATE(2025,4,20),
A20="K007",DATE(2025,4,22),
A20="K010",DATE(2025,4,23),
TRUE,"-"
)</f>
        <v>-</v>
      </c>
      <c r="AL20" s="3" t="str">
        <f t="shared" ref="AL20" si="29">_xlfn.IFS(
A20="K001",3,
A20="K003",2,
A20="K004",4,
A20="K006",2,
A20="K008",3,
A20="K009",5,
A20="K012",2,
A20="K018",3,
A20="K019",4,
A20="K020",2,
A20="K023",3,
A20="K025",2,
A20="K002",2,
A20="K007",3,
A20="K010",2,
TRUE,"-"
)</f>
        <v>-</v>
      </c>
      <c r="AM20" s="3" t="str">
        <f t="shared" ref="AM20" si="30">_xlfn.IFS(
A20="K001","Penyelesaian laporan bulanan",
A20="K003","Deploy sistem baru",
A20="K004","Event pemasaran",
A20="K006","Rekrutmen karyawan",
A20="K008","Audit keuangan",
A20="K009","Maintenance server",
A20="K012","Koordinasi SDM",
A20="K018","Rekonsiliasi data",
A20="K019","Pengembangan sistem",
A20="K020","Pameran produk",
A20="K023","Review laporan keuangan",
A20="K025","Koordinasi operasional",
A20="K002","Persiapan penggajian",
A20="K007","Testing aplikasi",
A20="K010","Analisis pasar",
TRUE,"-"
)</f>
        <v>-</v>
      </c>
      <c r="AN20" s="3" t="str">
        <f t="shared" ref="AN20" si="31">_xlfn.IFS(
A20="K001","Approved",
A20="K003","Approved",
A20="K004","Approved",
A20="K006","Approved",
A20="K008","Approved",
A20="K009","Approved",
A20="K012","Approved",
A20="K018","Approved",
A20="K019","Approved",
A20="K020","Approved",
A20="K023","Approved",
A20="K025","Approved",
A20="K002","Pending",
A20="K007","Pending",
A20="K010","Pending",
TRUE,"-"
)</f>
        <v>-</v>
      </c>
      <c r="AO20" s="3" t="str">
        <f t="shared" ref="AO20" si="32">_xlfn.IFS(
A20="K001",25000,
A20="K003",27500,
A20="K004",22000,
A20="K006",22000,
A20="K008",23000,
A20="K009",27500,
A20="K012",30000,
A20="K018",22000,
A20="K019",27500,
A20="K020",23000,
A20="K023",28000,
A20="K025",29000,
A20="K002",22500,
A20="K007",20000,
A20="K010",21000,
TRUE,"-"
)</f>
        <v>-</v>
      </c>
      <c r="AP20" s="3" t="s">
        <v>345</v>
      </c>
      <c r="AQ20" s="3" t="s">
        <v>82</v>
      </c>
      <c r="AR20" s="3" t="s">
        <v>83</v>
      </c>
      <c r="AS20" s="3">
        <v>700000</v>
      </c>
      <c r="AT20" s="3">
        <v>364000</v>
      </c>
      <c r="AU20" s="3">
        <v>0</v>
      </c>
      <c r="AV20" s="3">
        <v>3136000</v>
      </c>
      <c r="AW20" s="3" t="s">
        <v>84</v>
      </c>
      <c r="AX20" s="3" t="s">
        <v>85</v>
      </c>
      <c r="AY20" s="3" t="s">
        <v>665</v>
      </c>
      <c r="AZ20" s="3" t="s">
        <v>114</v>
      </c>
      <c r="BA20" s="3" t="str">
        <f>"400000"</f>
        <v>400000</v>
      </c>
      <c r="BB20" s="3" t="str">
        <f t="shared" ref="BB20" si="33">_xlfn.IFS(
AZ20="Tunjangan Jabatan","Sesuai jabatan",
AZ20="Tunjangan Makan","Biaya makan",
AZ20="Tunjangan Transportasi","Biaya transport",
AZ20="Tunjangan Kesehatan","Biaya kesehatan"
)</f>
        <v>Biaya makan</v>
      </c>
      <c r="BC20" s="3" t="s">
        <v>347</v>
      </c>
      <c r="BD20" s="3" t="s">
        <v>143</v>
      </c>
      <c r="BE20" s="3">
        <v>238000</v>
      </c>
      <c r="BF20" s="3" t="s">
        <v>144</v>
      </c>
    </row>
    <row r="21" spans="1:58" x14ac:dyDescent="0.25">
      <c r="A21" s="3" t="s">
        <v>348</v>
      </c>
      <c r="B21" s="3" t="s">
        <v>349</v>
      </c>
      <c r="C21" s="3" t="s">
        <v>350</v>
      </c>
      <c r="D21" s="3" t="s">
        <v>351</v>
      </c>
      <c r="E21" s="3" t="s">
        <v>95</v>
      </c>
      <c r="F21" s="3" t="s">
        <v>352</v>
      </c>
      <c r="G21" s="3" t="s">
        <v>353</v>
      </c>
      <c r="H21" s="3" t="s">
        <v>354</v>
      </c>
      <c r="I21" s="3" t="s">
        <v>60</v>
      </c>
      <c r="J21" s="3" t="s">
        <v>61</v>
      </c>
      <c r="K21" s="3" t="s">
        <v>355</v>
      </c>
      <c r="L21" s="3" t="s">
        <v>356</v>
      </c>
      <c r="M21" s="3" t="s">
        <v>357</v>
      </c>
      <c r="N21" s="3">
        <v>15000000</v>
      </c>
      <c r="O21" s="3">
        <v>25000000</v>
      </c>
      <c r="P21" s="3" t="s">
        <v>65</v>
      </c>
      <c r="Q21" s="3" t="s">
        <v>66</v>
      </c>
      <c r="R21" s="3" t="s">
        <v>67</v>
      </c>
      <c r="S21" s="3" t="s">
        <v>358</v>
      </c>
      <c r="T21" s="3" t="s">
        <v>69</v>
      </c>
      <c r="U21" s="3" t="s">
        <v>354</v>
      </c>
      <c r="V21" s="3" t="s">
        <v>359</v>
      </c>
      <c r="W21" s="3">
        <v>20000000</v>
      </c>
      <c r="X21" s="3" t="s">
        <v>60</v>
      </c>
      <c r="Y21" s="3" t="s">
        <v>360</v>
      </c>
      <c r="Z21" s="3" t="s">
        <v>109</v>
      </c>
      <c r="AA21" s="3" t="s">
        <v>361</v>
      </c>
      <c r="AB21" s="3" t="s">
        <v>350</v>
      </c>
      <c r="AC21" s="3" t="s">
        <v>74</v>
      </c>
      <c r="AD21" s="3" t="s">
        <v>362</v>
      </c>
      <c r="AE21" s="7" t="s">
        <v>76</v>
      </c>
      <c r="AF21" s="3" t="s">
        <v>77</v>
      </c>
      <c r="AG21" s="3" t="s">
        <v>78</v>
      </c>
      <c r="AH21" s="3" t="s">
        <v>79</v>
      </c>
      <c r="AI21" s="3" t="s">
        <v>80</v>
      </c>
      <c r="AJ21" s="3" t="str">
        <f t="shared" si="0"/>
        <v>-</v>
      </c>
      <c r="AK21" s="7" t="str">
        <f t="shared" si="1"/>
        <v>-</v>
      </c>
      <c r="AL21" s="3" t="str">
        <f t="shared" si="2"/>
        <v>-</v>
      </c>
      <c r="AM21" s="3" t="str">
        <f t="shared" si="3"/>
        <v>-</v>
      </c>
      <c r="AN21" s="3" t="str">
        <f t="shared" si="4"/>
        <v>-</v>
      </c>
      <c r="AO21" s="3" t="str">
        <f t="shared" si="5"/>
        <v>-</v>
      </c>
      <c r="AP21" s="3" t="s">
        <v>363</v>
      </c>
      <c r="AQ21" s="3" t="s">
        <v>82</v>
      </c>
      <c r="AR21" s="3" t="s">
        <v>83</v>
      </c>
      <c r="AS21" s="3">
        <v>5000000</v>
      </c>
      <c r="AT21" s="3">
        <v>2600000</v>
      </c>
      <c r="AU21" s="3">
        <v>0</v>
      </c>
      <c r="AV21" s="3">
        <v>22400000</v>
      </c>
      <c r="AW21" s="3" t="s">
        <v>84</v>
      </c>
      <c r="AX21" s="3" t="s">
        <v>85</v>
      </c>
      <c r="AY21" s="3" t="s">
        <v>364</v>
      </c>
      <c r="AZ21" s="3" t="s">
        <v>114</v>
      </c>
      <c r="BA21" s="3">
        <v>400000</v>
      </c>
      <c r="BB21" s="3" t="str">
        <f t="shared" si="12"/>
        <v>Biaya makan</v>
      </c>
      <c r="BC21" s="3" t="s">
        <v>365</v>
      </c>
      <c r="BD21" s="3" t="s">
        <v>89</v>
      </c>
      <c r="BE21" s="3">
        <v>137500</v>
      </c>
      <c r="BF21" s="3" t="s">
        <v>90</v>
      </c>
    </row>
    <row r="22" spans="1:58" x14ac:dyDescent="0.25">
      <c r="A22" s="3" t="s">
        <v>366</v>
      </c>
      <c r="B22" s="3" t="s">
        <v>367</v>
      </c>
      <c r="C22" s="3" t="s">
        <v>368</v>
      </c>
      <c r="D22" s="3" t="s">
        <v>369</v>
      </c>
      <c r="E22" s="3" t="s">
        <v>56</v>
      </c>
      <c r="F22" s="3" t="s">
        <v>370</v>
      </c>
      <c r="G22" s="3" t="s">
        <v>371</v>
      </c>
      <c r="H22" s="3" t="s">
        <v>372</v>
      </c>
      <c r="I22" s="3" t="s">
        <v>60</v>
      </c>
      <c r="J22" s="3" t="s">
        <v>174</v>
      </c>
      <c r="K22" s="3" t="s">
        <v>175</v>
      </c>
      <c r="L22" s="3" t="s">
        <v>176</v>
      </c>
      <c r="M22" s="3" t="s">
        <v>177</v>
      </c>
      <c r="N22" s="3">
        <v>2500000</v>
      </c>
      <c r="O22" s="3">
        <v>3500000</v>
      </c>
      <c r="P22" s="3" t="s">
        <v>178</v>
      </c>
      <c r="Q22" s="3" t="s">
        <v>179</v>
      </c>
      <c r="R22" s="3" t="s">
        <v>180</v>
      </c>
      <c r="S22" s="3" t="s">
        <v>373</v>
      </c>
      <c r="T22" s="3" t="s">
        <v>311</v>
      </c>
      <c r="U22" s="3" t="s">
        <v>372</v>
      </c>
      <c r="V22" s="3" t="s">
        <v>374</v>
      </c>
      <c r="W22" s="3">
        <v>2500000</v>
      </c>
      <c r="X22" s="3" t="s">
        <v>60</v>
      </c>
      <c r="Y22" s="3" t="s">
        <v>375</v>
      </c>
      <c r="Z22" s="3" t="s">
        <v>72</v>
      </c>
      <c r="AA22" s="3" t="s">
        <v>376</v>
      </c>
      <c r="AB22" s="3" t="s">
        <v>368</v>
      </c>
      <c r="AC22" s="3" t="s">
        <v>185</v>
      </c>
      <c r="AD22" s="3" t="s">
        <v>377</v>
      </c>
      <c r="AE22" s="7" t="s">
        <v>76</v>
      </c>
      <c r="AF22" s="3" t="s">
        <v>77</v>
      </c>
      <c r="AG22" s="3" t="s">
        <v>78</v>
      </c>
      <c r="AH22" s="3" t="s">
        <v>79</v>
      </c>
      <c r="AI22" s="3" t="s">
        <v>80</v>
      </c>
      <c r="AJ22" s="3" t="str">
        <f t="shared" si="0"/>
        <v>-</v>
      </c>
      <c r="AK22" s="7" t="str">
        <f t="shared" si="1"/>
        <v>-</v>
      </c>
      <c r="AL22" s="3" t="str">
        <f t="shared" si="2"/>
        <v>-</v>
      </c>
      <c r="AM22" s="3" t="str">
        <f t="shared" si="3"/>
        <v>-</v>
      </c>
      <c r="AN22" s="3" t="str">
        <f t="shared" si="4"/>
        <v>-</v>
      </c>
      <c r="AO22" s="3" t="str">
        <f t="shared" si="5"/>
        <v>-</v>
      </c>
      <c r="AP22" s="3" t="s">
        <v>378</v>
      </c>
      <c r="AQ22" s="3" t="s">
        <v>82</v>
      </c>
      <c r="AR22" s="3" t="s">
        <v>83</v>
      </c>
      <c r="AS22" s="3">
        <v>625000</v>
      </c>
      <c r="AT22" s="3">
        <v>325000</v>
      </c>
      <c r="AU22" s="3">
        <v>0</v>
      </c>
      <c r="AV22" s="3">
        <v>2800000</v>
      </c>
      <c r="AW22" s="3" t="s">
        <v>84</v>
      </c>
      <c r="AX22" s="3" t="s">
        <v>85</v>
      </c>
      <c r="AY22" s="3" t="s">
        <v>379</v>
      </c>
      <c r="AZ22" s="3" t="s">
        <v>141</v>
      </c>
      <c r="BA22" s="3">
        <v>300000</v>
      </c>
      <c r="BB22" s="3" t="str">
        <f t="shared" si="12"/>
        <v>Biaya transport</v>
      </c>
      <c r="BC22" s="3" t="s">
        <v>380</v>
      </c>
      <c r="BD22" s="3" t="s">
        <v>116</v>
      </c>
      <c r="BE22" s="3">
        <v>110000</v>
      </c>
      <c r="BF22" s="3" t="s">
        <v>117</v>
      </c>
    </row>
    <row r="23" spans="1:58" x14ac:dyDescent="0.25">
      <c r="A23" s="3" t="s">
        <v>381</v>
      </c>
      <c r="B23" s="3" t="s">
        <v>382</v>
      </c>
      <c r="C23" s="3" t="s">
        <v>383</v>
      </c>
      <c r="D23" s="3" t="s">
        <v>384</v>
      </c>
      <c r="E23" s="3" t="s">
        <v>95</v>
      </c>
      <c r="F23" s="3" t="s">
        <v>385</v>
      </c>
      <c r="G23" s="3" t="s">
        <v>386</v>
      </c>
      <c r="H23" s="3" t="s">
        <v>387</v>
      </c>
      <c r="I23" s="3" t="s">
        <v>60</v>
      </c>
      <c r="J23" s="3" t="s">
        <v>99</v>
      </c>
      <c r="K23" s="3" t="s">
        <v>153</v>
      </c>
      <c r="L23" s="3" t="s">
        <v>154</v>
      </c>
      <c r="M23" s="3" t="s">
        <v>128</v>
      </c>
      <c r="N23" s="3">
        <v>5000000</v>
      </c>
      <c r="O23" s="3">
        <v>8000000</v>
      </c>
      <c r="P23" s="3" t="s">
        <v>103</v>
      </c>
      <c r="Q23" s="3" t="s">
        <v>104</v>
      </c>
      <c r="R23" s="3" t="s">
        <v>105</v>
      </c>
      <c r="S23" s="3" t="s">
        <v>388</v>
      </c>
      <c r="T23" s="3" t="s">
        <v>69</v>
      </c>
      <c r="U23" s="3" t="s">
        <v>387</v>
      </c>
      <c r="V23" s="3" t="s">
        <v>389</v>
      </c>
      <c r="W23" s="3">
        <v>5600000</v>
      </c>
      <c r="X23" s="3" t="s">
        <v>60</v>
      </c>
      <c r="Y23" s="3" t="s">
        <v>390</v>
      </c>
      <c r="Z23" s="3" t="s">
        <v>200</v>
      </c>
      <c r="AA23" s="3" t="s">
        <v>391</v>
      </c>
      <c r="AB23" s="3" t="s">
        <v>383</v>
      </c>
      <c r="AC23" s="3" t="s">
        <v>74</v>
      </c>
      <c r="AD23" s="3" t="s">
        <v>392</v>
      </c>
      <c r="AE23" s="7" t="s">
        <v>76</v>
      </c>
      <c r="AF23" s="3" t="s">
        <v>80</v>
      </c>
      <c r="AG23" s="3" t="s">
        <v>80</v>
      </c>
      <c r="AH23" s="3" t="s">
        <v>393</v>
      </c>
      <c r="AI23" s="3" t="s">
        <v>587</v>
      </c>
      <c r="AJ23" s="3" t="str">
        <f t="shared" si="0"/>
        <v>LBR008</v>
      </c>
      <c r="AK23" s="7">
        <f t="shared" si="1"/>
        <v>45762</v>
      </c>
      <c r="AL23" s="3">
        <f t="shared" si="2"/>
        <v>3</v>
      </c>
      <c r="AM23" s="3" t="str">
        <f t="shared" si="3"/>
        <v>Rekonsiliasi data</v>
      </c>
      <c r="AN23" s="3" t="str">
        <f t="shared" si="4"/>
        <v>Approved</v>
      </c>
      <c r="AO23" s="3">
        <f t="shared" si="5"/>
        <v>22000</v>
      </c>
      <c r="AP23" s="3" t="s">
        <v>394</v>
      </c>
      <c r="AQ23" s="3" t="s">
        <v>82</v>
      </c>
      <c r="AR23" s="3" t="s">
        <v>83</v>
      </c>
      <c r="AS23" s="3">
        <v>1400000</v>
      </c>
      <c r="AT23" s="3">
        <v>728000</v>
      </c>
      <c r="AU23" s="3">
        <v>66000</v>
      </c>
      <c r="AV23" s="3">
        <v>6338000</v>
      </c>
      <c r="AW23" s="3" t="s">
        <v>84</v>
      </c>
      <c r="AX23" s="3" t="s">
        <v>85</v>
      </c>
      <c r="AY23" s="3" t="s">
        <v>395</v>
      </c>
      <c r="AZ23" s="3" t="s">
        <v>87</v>
      </c>
      <c r="BA23" s="3">
        <v>3500000</v>
      </c>
      <c r="BB23" s="3" t="str">
        <f t="shared" si="12"/>
        <v>Sesuai jabatan</v>
      </c>
      <c r="BC23" s="3" t="s">
        <v>396</v>
      </c>
      <c r="BD23" s="3" t="s">
        <v>143</v>
      </c>
      <c r="BE23" s="3">
        <v>467500</v>
      </c>
      <c r="BF23" s="3" t="s">
        <v>144</v>
      </c>
    </row>
    <row r="24" spans="1:58" x14ac:dyDescent="0.25">
      <c r="A24" s="3" t="s">
        <v>397</v>
      </c>
      <c r="B24" s="3" t="s">
        <v>398</v>
      </c>
      <c r="C24" s="3" t="s">
        <v>399</v>
      </c>
      <c r="D24" s="3" t="s">
        <v>400</v>
      </c>
      <c r="E24" s="3" t="s">
        <v>56</v>
      </c>
      <c r="F24" s="3" t="s">
        <v>401</v>
      </c>
      <c r="G24" s="3" t="s">
        <v>402</v>
      </c>
      <c r="H24" s="3" t="s">
        <v>403</v>
      </c>
      <c r="I24" s="3" t="s">
        <v>60</v>
      </c>
      <c r="J24" s="3" t="s">
        <v>125</v>
      </c>
      <c r="K24" s="3" t="s">
        <v>247</v>
      </c>
      <c r="L24" s="3" t="s">
        <v>248</v>
      </c>
      <c r="M24" s="3" t="s">
        <v>128</v>
      </c>
      <c r="N24" s="3">
        <v>5000000</v>
      </c>
      <c r="O24" s="3">
        <v>8500000</v>
      </c>
      <c r="P24" s="3" t="s">
        <v>129</v>
      </c>
      <c r="Q24" s="3" t="s">
        <v>130</v>
      </c>
      <c r="R24" s="3" t="s">
        <v>131</v>
      </c>
      <c r="S24" s="3" t="s">
        <v>404</v>
      </c>
      <c r="T24" s="3" t="s">
        <v>133</v>
      </c>
      <c r="U24" s="3" t="s">
        <v>403</v>
      </c>
      <c r="V24" s="3" t="s">
        <v>405</v>
      </c>
      <c r="W24" s="3">
        <v>5700000</v>
      </c>
      <c r="X24" s="3" t="s">
        <v>60</v>
      </c>
      <c r="Y24" s="3" t="s">
        <v>406</v>
      </c>
      <c r="Z24" s="3" t="s">
        <v>136</v>
      </c>
      <c r="AA24" s="3" t="s">
        <v>407</v>
      </c>
      <c r="AB24" s="3" t="s">
        <v>399</v>
      </c>
      <c r="AC24" s="3" t="s">
        <v>185</v>
      </c>
      <c r="AD24" s="3" t="s">
        <v>408</v>
      </c>
      <c r="AE24" s="7" t="s">
        <v>76</v>
      </c>
      <c r="AF24" s="3" t="s">
        <v>77</v>
      </c>
      <c r="AG24" s="3" t="s">
        <v>78</v>
      </c>
      <c r="AH24" s="3" t="s">
        <v>79</v>
      </c>
      <c r="AI24" s="3" t="s">
        <v>80</v>
      </c>
      <c r="AJ24" s="3" t="str">
        <f t="shared" si="0"/>
        <v>LBR009</v>
      </c>
      <c r="AK24" s="7">
        <f t="shared" si="1"/>
        <v>45763</v>
      </c>
      <c r="AL24" s="3">
        <f t="shared" si="2"/>
        <v>4</v>
      </c>
      <c r="AM24" s="3" t="str">
        <f t="shared" si="3"/>
        <v>Pengembangan sistem</v>
      </c>
      <c r="AN24" s="3" t="str">
        <f t="shared" si="4"/>
        <v>Approved</v>
      </c>
      <c r="AO24" s="3">
        <f t="shared" si="5"/>
        <v>27500</v>
      </c>
      <c r="AP24" s="3" t="s">
        <v>409</v>
      </c>
      <c r="AQ24" s="3" t="s">
        <v>82</v>
      </c>
      <c r="AR24" s="3" t="s">
        <v>83</v>
      </c>
      <c r="AS24" s="3">
        <v>1425000</v>
      </c>
      <c r="AT24" s="3">
        <v>741000</v>
      </c>
      <c r="AU24" s="3">
        <v>110000</v>
      </c>
      <c r="AV24" s="3">
        <v>6494000</v>
      </c>
      <c r="AW24" s="3" t="s">
        <v>84</v>
      </c>
      <c r="AX24" s="3" t="s">
        <v>85</v>
      </c>
      <c r="AY24" s="3" t="s">
        <v>410</v>
      </c>
      <c r="AZ24" s="3" t="s">
        <v>114</v>
      </c>
      <c r="BA24" s="3">
        <v>800000</v>
      </c>
      <c r="BB24" s="3" t="str">
        <f t="shared" si="12"/>
        <v>Biaya makan</v>
      </c>
      <c r="BC24" s="3" t="s">
        <v>411</v>
      </c>
      <c r="BD24" s="3" t="s">
        <v>89</v>
      </c>
      <c r="BE24" s="3">
        <v>500000</v>
      </c>
      <c r="BF24" s="3" t="s">
        <v>90</v>
      </c>
    </row>
    <row r="25" spans="1:58" x14ac:dyDescent="0.25">
      <c r="A25" s="3" t="s">
        <v>412</v>
      </c>
      <c r="B25" s="3" t="s">
        <v>413</v>
      </c>
      <c r="C25" s="3" t="s">
        <v>414</v>
      </c>
      <c r="D25" s="3" t="s">
        <v>415</v>
      </c>
      <c r="E25" s="3" t="s">
        <v>95</v>
      </c>
      <c r="F25" s="3" t="s">
        <v>416</v>
      </c>
      <c r="G25" s="3" t="s">
        <v>417</v>
      </c>
      <c r="H25" s="3" t="s">
        <v>418</v>
      </c>
      <c r="I25" s="3" t="s">
        <v>60</v>
      </c>
      <c r="J25" s="3" t="s">
        <v>152</v>
      </c>
      <c r="K25" s="3" t="s">
        <v>153</v>
      </c>
      <c r="L25" s="3" t="s">
        <v>154</v>
      </c>
      <c r="M25" s="3" t="s">
        <v>128</v>
      </c>
      <c r="N25" s="3">
        <v>5000000</v>
      </c>
      <c r="O25" s="3">
        <v>8000000</v>
      </c>
      <c r="P25" s="3" t="s">
        <v>155</v>
      </c>
      <c r="Q25" s="3" t="s">
        <v>156</v>
      </c>
      <c r="R25" s="3" t="s">
        <v>157</v>
      </c>
      <c r="S25" s="3" t="s">
        <v>419</v>
      </c>
      <c r="T25" s="3" t="s">
        <v>69</v>
      </c>
      <c r="U25" s="3" t="s">
        <v>418</v>
      </c>
      <c r="V25" s="3" t="s">
        <v>420</v>
      </c>
      <c r="W25" s="3">
        <v>6200000</v>
      </c>
      <c r="X25" s="3" t="s">
        <v>60</v>
      </c>
      <c r="Y25" s="3" t="s">
        <v>421</v>
      </c>
      <c r="Z25" s="3" t="s">
        <v>161</v>
      </c>
      <c r="AA25" s="3" t="s">
        <v>422</v>
      </c>
      <c r="AB25" s="3" t="s">
        <v>414</v>
      </c>
      <c r="AC25" s="3" t="s">
        <v>185</v>
      </c>
      <c r="AD25" s="3" t="s">
        <v>423</v>
      </c>
      <c r="AE25" s="7" t="s">
        <v>76</v>
      </c>
      <c r="AF25" s="3" t="s">
        <v>77</v>
      </c>
      <c r="AG25" s="3" t="s">
        <v>78</v>
      </c>
      <c r="AH25" s="3" t="s">
        <v>79</v>
      </c>
      <c r="AI25" s="3" t="s">
        <v>80</v>
      </c>
      <c r="AJ25" s="3" t="str">
        <f t="shared" si="0"/>
        <v>LBR010</v>
      </c>
      <c r="AK25" s="7">
        <f t="shared" si="1"/>
        <v>45764</v>
      </c>
      <c r="AL25" s="3">
        <f t="shared" si="2"/>
        <v>2</v>
      </c>
      <c r="AM25" s="3" t="str">
        <f t="shared" si="3"/>
        <v>Pameran produk</v>
      </c>
      <c r="AN25" s="3" t="str">
        <f t="shared" si="4"/>
        <v>Approved</v>
      </c>
      <c r="AO25" s="3">
        <f t="shared" si="5"/>
        <v>23000</v>
      </c>
      <c r="AP25" s="3" t="s">
        <v>424</v>
      </c>
      <c r="AQ25" s="3" t="s">
        <v>82</v>
      </c>
      <c r="AR25" s="3" t="s">
        <v>83</v>
      </c>
      <c r="AS25" s="3">
        <v>1550000</v>
      </c>
      <c r="AT25" s="3">
        <v>806000</v>
      </c>
      <c r="AU25" s="3">
        <v>46000</v>
      </c>
      <c r="AV25" s="3">
        <v>6990000</v>
      </c>
      <c r="AW25" s="3" t="s">
        <v>84</v>
      </c>
      <c r="AX25" s="3" t="s">
        <v>85</v>
      </c>
      <c r="AY25" s="3" t="s">
        <v>425</v>
      </c>
      <c r="AZ25" s="3" t="s">
        <v>141</v>
      </c>
      <c r="BA25" s="3">
        <v>700000</v>
      </c>
      <c r="BB25" s="3" t="str">
        <f t="shared" si="12"/>
        <v>Biaya transport</v>
      </c>
      <c r="BC25" s="3" t="s">
        <v>426</v>
      </c>
      <c r="BD25" s="3" t="s">
        <v>116</v>
      </c>
      <c r="BE25" s="3">
        <v>400000</v>
      </c>
      <c r="BF25" s="3" t="s">
        <v>117</v>
      </c>
    </row>
    <row r="26" spans="1:58" x14ac:dyDescent="0.25">
      <c r="A26" s="3" t="s">
        <v>427</v>
      </c>
      <c r="B26" s="3" t="s">
        <v>428</v>
      </c>
      <c r="C26" s="3" t="s">
        <v>429</v>
      </c>
      <c r="D26" s="3" t="s">
        <v>430</v>
      </c>
      <c r="E26" s="3" t="s">
        <v>56</v>
      </c>
      <c r="F26" s="3" t="s">
        <v>431</v>
      </c>
      <c r="G26" s="3" t="s">
        <v>432</v>
      </c>
      <c r="H26" s="3" t="s">
        <v>433</v>
      </c>
      <c r="I26" s="3" t="s">
        <v>60</v>
      </c>
      <c r="J26" s="3" t="s">
        <v>174</v>
      </c>
      <c r="K26" s="3" t="s">
        <v>100</v>
      </c>
      <c r="L26" s="3" t="s">
        <v>101</v>
      </c>
      <c r="M26" s="3" t="s">
        <v>102</v>
      </c>
      <c r="N26" s="3">
        <v>3500000</v>
      </c>
      <c r="O26" s="3">
        <v>5500000</v>
      </c>
      <c r="P26" s="3" t="s">
        <v>178</v>
      </c>
      <c r="Q26" s="3" t="s">
        <v>179</v>
      </c>
      <c r="R26" s="3" t="s">
        <v>180</v>
      </c>
      <c r="S26" s="3" t="s">
        <v>434</v>
      </c>
      <c r="T26" s="3" t="s">
        <v>69</v>
      </c>
      <c r="U26" s="3" t="s">
        <v>433</v>
      </c>
      <c r="V26" s="3" t="s">
        <v>435</v>
      </c>
      <c r="W26" s="3">
        <v>4700000</v>
      </c>
      <c r="X26" s="3" t="s">
        <v>60</v>
      </c>
      <c r="Y26" s="3" t="s">
        <v>436</v>
      </c>
      <c r="Z26" s="3" t="s">
        <v>72</v>
      </c>
      <c r="AA26" s="3" t="s">
        <v>437</v>
      </c>
      <c r="AB26" s="3" t="s">
        <v>429</v>
      </c>
      <c r="AC26" s="3" t="s">
        <v>185</v>
      </c>
      <c r="AD26" s="3" t="s">
        <v>438</v>
      </c>
      <c r="AE26" s="7" t="s">
        <v>76</v>
      </c>
      <c r="AF26" s="3" t="s">
        <v>77</v>
      </c>
      <c r="AG26" s="3" t="s">
        <v>78</v>
      </c>
      <c r="AH26" s="3" t="s">
        <v>79</v>
      </c>
      <c r="AI26" s="3" t="s">
        <v>80</v>
      </c>
      <c r="AJ26" s="3" t="str">
        <f t="shared" si="0"/>
        <v>-</v>
      </c>
      <c r="AK26" s="7" t="str">
        <f t="shared" si="1"/>
        <v>-</v>
      </c>
      <c r="AL26" s="3" t="str">
        <f t="shared" si="2"/>
        <v>-</v>
      </c>
      <c r="AM26" s="3" t="str">
        <f t="shared" si="3"/>
        <v>-</v>
      </c>
      <c r="AN26" s="3" t="str">
        <f t="shared" si="4"/>
        <v>-</v>
      </c>
      <c r="AO26" s="3" t="str">
        <f t="shared" si="5"/>
        <v>-</v>
      </c>
      <c r="AP26" s="3" t="s">
        <v>439</v>
      </c>
      <c r="AQ26" s="3" t="s">
        <v>82</v>
      </c>
      <c r="AR26" s="3" t="s">
        <v>83</v>
      </c>
      <c r="AS26" s="3">
        <v>1175000</v>
      </c>
      <c r="AT26" s="3">
        <v>611000</v>
      </c>
      <c r="AU26" s="3">
        <v>0</v>
      </c>
      <c r="AV26" s="3">
        <v>5264000</v>
      </c>
      <c r="AW26" s="3" t="s">
        <v>84</v>
      </c>
      <c r="AX26" s="3" t="s">
        <v>85</v>
      </c>
      <c r="AY26" s="3" t="s">
        <v>440</v>
      </c>
      <c r="AZ26" s="3" t="s">
        <v>87</v>
      </c>
      <c r="BA26" s="3" t="str">
        <f>"700000"</f>
        <v>700000</v>
      </c>
      <c r="BB26" s="3" t="str">
        <f t="shared" si="12"/>
        <v>Sesuai jabatan</v>
      </c>
      <c r="BC26" s="3" t="s">
        <v>441</v>
      </c>
      <c r="BD26" s="3" t="s">
        <v>143</v>
      </c>
      <c r="BE26" s="3">
        <v>1700000</v>
      </c>
      <c r="BF26" s="3" t="s">
        <v>144</v>
      </c>
    </row>
    <row r="27" spans="1:58" x14ac:dyDescent="0.25">
      <c r="A27" s="3" t="s">
        <v>427</v>
      </c>
      <c r="B27" s="3" t="s">
        <v>428</v>
      </c>
      <c r="C27" s="3" t="s">
        <v>429</v>
      </c>
      <c r="D27" s="3" t="s">
        <v>430</v>
      </c>
      <c r="E27" s="3" t="s">
        <v>56</v>
      </c>
      <c r="F27" s="3" t="s">
        <v>431</v>
      </c>
      <c r="G27" s="3" t="s">
        <v>432</v>
      </c>
      <c r="H27" s="3" t="s">
        <v>433</v>
      </c>
      <c r="I27" s="3" t="s">
        <v>60</v>
      </c>
      <c r="J27" s="3" t="s">
        <v>174</v>
      </c>
      <c r="K27" s="3" t="s">
        <v>100</v>
      </c>
      <c r="L27" s="3" t="s">
        <v>101</v>
      </c>
      <c r="M27" s="3" t="s">
        <v>102</v>
      </c>
      <c r="N27" s="3">
        <v>3500000</v>
      </c>
      <c r="O27" s="3">
        <v>5500000</v>
      </c>
      <c r="P27" s="3" t="s">
        <v>178</v>
      </c>
      <c r="Q27" s="3" t="s">
        <v>179</v>
      </c>
      <c r="R27" s="3" t="s">
        <v>180</v>
      </c>
      <c r="S27" s="3" t="s">
        <v>434</v>
      </c>
      <c r="T27" s="3" t="s">
        <v>69</v>
      </c>
      <c r="U27" s="3" t="s">
        <v>433</v>
      </c>
      <c r="V27" s="3" t="s">
        <v>435</v>
      </c>
      <c r="W27" s="3">
        <v>4700000</v>
      </c>
      <c r="X27" s="3" t="s">
        <v>60</v>
      </c>
      <c r="Y27" s="3" t="s">
        <v>436</v>
      </c>
      <c r="Z27" s="3" t="s">
        <v>72</v>
      </c>
      <c r="AA27" s="3" t="s">
        <v>437</v>
      </c>
      <c r="AB27" s="3" t="s">
        <v>429</v>
      </c>
      <c r="AC27" s="3" t="s">
        <v>185</v>
      </c>
      <c r="AD27" s="3" t="s">
        <v>438</v>
      </c>
      <c r="AE27" s="7" t="s">
        <v>76</v>
      </c>
      <c r="AF27" s="3" t="s">
        <v>77</v>
      </c>
      <c r="AG27" s="3" t="s">
        <v>78</v>
      </c>
      <c r="AH27" s="3" t="s">
        <v>79</v>
      </c>
      <c r="AI27" s="3" t="s">
        <v>80</v>
      </c>
      <c r="AJ27" s="3" t="str">
        <f t="shared" ref="AJ27" si="34">_xlfn.IFS(
A27="K001","LBR001",
A27="K003","LBR002",
A27="K004","LBR003",
A27="K006","LBR004",
A27="K008","LBR005",
A27="K009","LBR006",
A27="K012","LBR007",
A27="K018","LBR008",
A27="K019","LBR009",
A27="K020","LBR010",
A27="K023","LBR011",
A27="K025","LBR012",
A27="K002","LBR013",
A27="K007","LBR014",
A27="K010","LBR015",
TRUE,"-"
)</f>
        <v>-</v>
      </c>
      <c r="AK27" s="7" t="str">
        <f t="shared" ref="AK27" si="35">_xlfn.IFS(
A27="K001",DATE(2025,4,8),
A27="K003",DATE(2025,4,9),
A27="K004",DATE(2025,4,10),
A27="K006",DATE(2025,4,11),
A27="K008",DATE(2025,4,12),
A27="K009",DATE(2025,4,13),
A27="K012",DATE(2025,4,14),
A27="K018",DATE(2025,4,15),
A27="K019",DATE(2025,4,16),
A27="K020",DATE(2025,4,17),
A27="K023",DATE(2025,4,18),
A27="K025",DATE(2025,4,19),
A27="K002",DATE(2025,4,20),
A27="K007",DATE(2025,4,22),
A27="K010",DATE(2025,4,23),
TRUE,"-"
)</f>
        <v>-</v>
      </c>
      <c r="AL27" s="3" t="str">
        <f t="shared" ref="AL27" si="36">_xlfn.IFS(
A27="K001",3,
A27="K003",2,
A27="K004",4,
A27="K006",2,
A27="K008",3,
A27="K009",5,
A27="K012",2,
A27="K018",3,
A27="K019",4,
A27="K020",2,
A27="K023",3,
A27="K025",2,
A27="K002",2,
A27="K007",3,
A27="K010",2,
TRUE,"-"
)</f>
        <v>-</v>
      </c>
      <c r="AM27" s="3" t="str">
        <f t="shared" ref="AM27" si="37">_xlfn.IFS(
A27="K001","Penyelesaian laporan bulanan",
A27="K003","Deploy sistem baru",
A27="K004","Event pemasaran",
A27="K006","Rekrutmen karyawan",
A27="K008","Audit keuangan",
A27="K009","Maintenance server",
A27="K012","Koordinasi SDM",
A27="K018","Rekonsiliasi data",
A27="K019","Pengembangan sistem",
A27="K020","Pameran produk",
A27="K023","Review laporan keuangan",
A27="K025","Koordinasi operasional",
A27="K002","Persiapan penggajian",
A27="K007","Testing aplikasi",
A27="K010","Analisis pasar",
TRUE,"-"
)</f>
        <v>-</v>
      </c>
      <c r="AN27" s="3" t="str">
        <f t="shared" ref="AN27" si="38">_xlfn.IFS(
A27="K001","Approved",
A27="K003","Approved",
A27="K004","Approved",
A27="K006","Approved",
A27="K008","Approved",
A27="K009","Approved",
A27="K012","Approved",
A27="K018","Approved",
A27="K019","Approved",
A27="K020","Approved",
A27="K023","Approved",
A27="K025","Approved",
A27="K002","Pending",
A27="K007","Pending",
A27="K010","Pending",
TRUE,"-"
)</f>
        <v>-</v>
      </c>
      <c r="AO27" s="3" t="str">
        <f t="shared" ref="AO27" si="39">_xlfn.IFS(
A27="K001",25000,
A27="K003",27500,
A27="K004",22000,
A27="K006",22000,
A27="K008",23000,
A27="K009",27500,
A27="K012",30000,
A27="K018",22000,
A27="K019",27500,
A27="K020",23000,
A27="K023",28000,
A27="K025",29000,
A27="K002",22500,
A27="K007",20000,
A27="K010",21000,
TRUE,"-"
)</f>
        <v>-</v>
      </c>
      <c r="AP27" s="3" t="s">
        <v>439</v>
      </c>
      <c r="AQ27" s="3" t="s">
        <v>82</v>
      </c>
      <c r="AR27" s="3" t="s">
        <v>83</v>
      </c>
      <c r="AS27" s="3">
        <v>1175000</v>
      </c>
      <c r="AT27" s="3">
        <v>611000</v>
      </c>
      <c r="AU27" s="3">
        <v>0</v>
      </c>
      <c r="AV27" s="3">
        <v>5264000</v>
      </c>
      <c r="AW27" s="3" t="s">
        <v>84</v>
      </c>
      <c r="AX27" s="3" t="s">
        <v>85</v>
      </c>
      <c r="AY27" s="3" t="s">
        <v>666</v>
      </c>
      <c r="AZ27" s="3" t="s">
        <v>114</v>
      </c>
      <c r="BA27" s="3" t="str">
        <f>"400000"</f>
        <v>400000</v>
      </c>
      <c r="BB27" s="3" t="str">
        <f t="shared" ref="BB27" si="40">_xlfn.IFS(
AZ27="Tunjangan Jabatan","Sesuai jabatan",
AZ27="Tunjangan Makan","Biaya makan",
AZ27="Tunjangan Transportasi","Biaya transport",
AZ27="Tunjangan Kesehatan","Biaya kesehatan"
)</f>
        <v>Biaya makan</v>
      </c>
      <c r="BC27" s="3" t="s">
        <v>441</v>
      </c>
      <c r="BD27" s="3" t="s">
        <v>143</v>
      </c>
      <c r="BE27" s="3">
        <v>1700000</v>
      </c>
      <c r="BF27" s="3" t="s">
        <v>144</v>
      </c>
    </row>
    <row r="28" spans="1:58" x14ac:dyDescent="0.25">
      <c r="A28" s="3" t="s">
        <v>442</v>
      </c>
      <c r="B28" s="3" t="s">
        <v>443</v>
      </c>
      <c r="C28" s="3" t="s">
        <v>444</v>
      </c>
      <c r="D28" s="3" t="s">
        <v>445</v>
      </c>
      <c r="E28" s="3" t="s">
        <v>95</v>
      </c>
      <c r="F28" s="3" t="s">
        <v>446</v>
      </c>
      <c r="G28" s="3" t="s">
        <v>447</v>
      </c>
      <c r="H28" s="3" t="s">
        <v>448</v>
      </c>
      <c r="I28" s="3" t="s">
        <v>60</v>
      </c>
      <c r="J28" s="3" t="s">
        <v>61</v>
      </c>
      <c r="K28" s="3" t="s">
        <v>175</v>
      </c>
      <c r="L28" s="3" t="s">
        <v>176</v>
      </c>
      <c r="M28" s="3" t="s">
        <v>177</v>
      </c>
      <c r="N28" s="3">
        <v>2500000</v>
      </c>
      <c r="O28" s="3">
        <v>3500000</v>
      </c>
      <c r="P28" s="3" t="s">
        <v>65</v>
      </c>
      <c r="Q28" s="3" t="s">
        <v>66</v>
      </c>
      <c r="R28" s="3" t="s">
        <v>67</v>
      </c>
      <c r="S28" s="3" t="s">
        <v>449</v>
      </c>
      <c r="T28" s="3" t="s">
        <v>311</v>
      </c>
      <c r="U28" s="3" t="s">
        <v>448</v>
      </c>
      <c r="V28" s="3" t="s">
        <v>450</v>
      </c>
      <c r="W28" s="3">
        <v>2500000</v>
      </c>
      <c r="X28" s="3" t="s">
        <v>60</v>
      </c>
      <c r="Y28" s="3" t="s">
        <v>451</v>
      </c>
      <c r="Z28" s="3" t="s">
        <v>109</v>
      </c>
      <c r="AA28" s="3" t="s">
        <v>452</v>
      </c>
      <c r="AB28" s="3" t="s">
        <v>444</v>
      </c>
      <c r="AC28" s="3" t="s">
        <v>185</v>
      </c>
      <c r="AD28" s="3" t="s">
        <v>453</v>
      </c>
      <c r="AE28" s="7" t="s">
        <v>76</v>
      </c>
      <c r="AF28" s="3" t="s">
        <v>77</v>
      </c>
      <c r="AG28" s="3" t="s">
        <v>78</v>
      </c>
      <c r="AH28" s="3" t="s">
        <v>79</v>
      </c>
      <c r="AI28" s="3" t="s">
        <v>80</v>
      </c>
      <c r="AJ28" s="3" t="str">
        <f t="shared" si="0"/>
        <v>-</v>
      </c>
      <c r="AK28" s="7" t="str">
        <f t="shared" si="1"/>
        <v>-</v>
      </c>
      <c r="AL28" s="3" t="str">
        <f t="shared" si="2"/>
        <v>-</v>
      </c>
      <c r="AM28" s="3" t="str">
        <f t="shared" si="3"/>
        <v>-</v>
      </c>
      <c r="AN28" s="3" t="str">
        <f t="shared" si="4"/>
        <v>-</v>
      </c>
      <c r="AO28" s="3" t="str">
        <f t="shared" si="5"/>
        <v>-</v>
      </c>
      <c r="AP28" s="3" t="s">
        <v>454</v>
      </c>
      <c r="AQ28" s="3" t="s">
        <v>82</v>
      </c>
      <c r="AR28" s="3" t="s">
        <v>83</v>
      </c>
      <c r="AS28" s="3">
        <v>625000</v>
      </c>
      <c r="AT28" s="3">
        <v>325000</v>
      </c>
      <c r="AU28" s="3">
        <v>0</v>
      </c>
      <c r="AV28" s="3">
        <v>2800000</v>
      </c>
      <c r="AW28" s="3" t="s">
        <v>84</v>
      </c>
      <c r="AX28" s="3" t="s">
        <v>85</v>
      </c>
      <c r="AY28" s="3" t="s">
        <v>455</v>
      </c>
      <c r="AZ28" s="3" t="s">
        <v>114</v>
      </c>
      <c r="BA28" s="3">
        <v>500000</v>
      </c>
      <c r="BB28" s="3" t="str">
        <f t="shared" si="12"/>
        <v>Biaya makan</v>
      </c>
      <c r="BC28" s="3" t="s">
        <v>456</v>
      </c>
      <c r="BD28" s="3" t="s">
        <v>89</v>
      </c>
      <c r="BE28" s="3">
        <v>145000</v>
      </c>
      <c r="BF28" s="3" t="s">
        <v>90</v>
      </c>
    </row>
    <row r="29" spans="1:58" x14ac:dyDescent="0.25">
      <c r="A29" s="3" t="s">
        <v>457</v>
      </c>
      <c r="B29" s="3" t="s">
        <v>458</v>
      </c>
      <c r="C29" s="3" t="s">
        <v>459</v>
      </c>
      <c r="D29" s="3" t="s">
        <v>460</v>
      </c>
      <c r="E29" s="3" t="s">
        <v>56</v>
      </c>
      <c r="F29" s="3" t="s">
        <v>461</v>
      </c>
      <c r="G29" s="3" t="s">
        <v>462</v>
      </c>
      <c r="H29" s="3" t="s">
        <v>463</v>
      </c>
      <c r="I29" s="3" t="s">
        <v>60</v>
      </c>
      <c r="J29" s="3" t="s">
        <v>99</v>
      </c>
      <c r="K29" s="3" t="s">
        <v>62</v>
      </c>
      <c r="L29" s="3" t="s">
        <v>63</v>
      </c>
      <c r="M29" s="3" t="s">
        <v>64</v>
      </c>
      <c r="N29" s="3">
        <v>8000000</v>
      </c>
      <c r="O29" s="3">
        <v>15000000</v>
      </c>
      <c r="P29" s="3" t="s">
        <v>103</v>
      </c>
      <c r="Q29" s="3" t="s">
        <v>104</v>
      </c>
      <c r="R29" s="3" t="s">
        <v>105</v>
      </c>
      <c r="S29" s="3" t="s">
        <v>464</v>
      </c>
      <c r="T29" s="3" t="s">
        <v>69</v>
      </c>
      <c r="U29" s="3" t="s">
        <v>463</v>
      </c>
      <c r="V29" s="3" t="s">
        <v>465</v>
      </c>
      <c r="W29" s="3">
        <v>9000000</v>
      </c>
      <c r="X29" s="3" t="s">
        <v>60</v>
      </c>
      <c r="Y29" s="3" t="s">
        <v>466</v>
      </c>
      <c r="Z29" s="3" t="s">
        <v>136</v>
      </c>
      <c r="AA29" s="3" t="s">
        <v>467</v>
      </c>
      <c r="AB29" s="3" t="s">
        <v>459</v>
      </c>
      <c r="AC29" s="3" t="s">
        <v>185</v>
      </c>
      <c r="AD29" s="3" t="s">
        <v>468</v>
      </c>
      <c r="AE29" s="7" t="s">
        <v>76</v>
      </c>
      <c r="AF29" s="3" t="s">
        <v>77</v>
      </c>
      <c r="AG29" s="3" t="s">
        <v>78</v>
      </c>
      <c r="AH29" s="3" t="s">
        <v>79</v>
      </c>
      <c r="AI29" s="3" t="s">
        <v>80</v>
      </c>
      <c r="AJ29" s="3" t="str">
        <f t="shared" si="0"/>
        <v>LBR011</v>
      </c>
      <c r="AK29" s="7">
        <f t="shared" si="1"/>
        <v>45765</v>
      </c>
      <c r="AL29" s="3">
        <f t="shared" si="2"/>
        <v>3</v>
      </c>
      <c r="AM29" s="3" t="str">
        <f t="shared" si="3"/>
        <v>Review laporan keuangan</v>
      </c>
      <c r="AN29" s="3" t="str">
        <f t="shared" si="4"/>
        <v>Approved</v>
      </c>
      <c r="AO29" s="3">
        <f t="shared" si="5"/>
        <v>28000</v>
      </c>
      <c r="AP29" s="3" t="s">
        <v>469</v>
      </c>
      <c r="AQ29" s="3" t="s">
        <v>82</v>
      </c>
      <c r="AR29" s="3" t="s">
        <v>83</v>
      </c>
      <c r="AS29" s="3">
        <v>2250000</v>
      </c>
      <c r="AT29" s="3">
        <v>1170000</v>
      </c>
      <c r="AU29" s="3">
        <v>84000</v>
      </c>
      <c r="AV29" s="3">
        <v>10164000</v>
      </c>
      <c r="AW29" s="3" t="s">
        <v>84</v>
      </c>
      <c r="AX29" s="3" t="s">
        <v>85</v>
      </c>
      <c r="AY29" s="3" t="s">
        <v>470</v>
      </c>
      <c r="AZ29" s="3" t="s">
        <v>141</v>
      </c>
      <c r="BA29" s="3">
        <v>300000</v>
      </c>
      <c r="BB29" s="3" t="str">
        <f t="shared" si="12"/>
        <v>Biaya transport</v>
      </c>
      <c r="BC29" s="3" t="s">
        <v>471</v>
      </c>
      <c r="BD29" s="3" t="s">
        <v>116</v>
      </c>
      <c r="BE29" s="3">
        <v>116000</v>
      </c>
      <c r="BF29" s="3" t="s">
        <v>117</v>
      </c>
    </row>
    <row r="30" spans="1:58" x14ac:dyDescent="0.25">
      <c r="A30" s="3" t="s">
        <v>472</v>
      </c>
      <c r="B30" s="3" t="s">
        <v>473</v>
      </c>
      <c r="C30" s="3" t="s">
        <v>474</v>
      </c>
      <c r="D30" s="3" t="s">
        <v>475</v>
      </c>
      <c r="E30" s="3" t="s">
        <v>95</v>
      </c>
      <c r="F30" s="3" t="s">
        <v>476</v>
      </c>
      <c r="G30" s="3" t="s">
        <v>477</v>
      </c>
      <c r="H30" s="3" t="s">
        <v>478</v>
      </c>
      <c r="I30" s="3" t="s">
        <v>60</v>
      </c>
      <c r="J30" s="3" t="s">
        <v>125</v>
      </c>
      <c r="K30" s="3" t="s">
        <v>175</v>
      </c>
      <c r="L30" s="3" t="s">
        <v>176</v>
      </c>
      <c r="M30" s="3" t="s">
        <v>177</v>
      </c>
      <c r="N30" s="3">
        <v>2500000</v>
      </c>
      <c r="O30" s="3">
        <v>3500000</v>
      </c>
      <c r="P30" s="3" t="s">
        <v>129</v>
      </c>
      <c r="Q30" s="3" t="s">
        <v>130</v>
      </c>
      <c r="R30" s="3" t="s">
        <v>131</v>
      </c>
      <c r="S30" s="3" t="s">
        <v>479</v>
      </c>
      <c r="T30" s="3" t="s">
        <v>133</v>
      </c>
      <c r="U30" s="3" t="s">
        <v>478</v>
      </c>
      <c r="V30" s="3" t="s">
        <v>480</v>
      </c>
      <c r="W30" s="3">
        <v>2900000</v>
      </c>
      <c r="X30" s="3" t="s">
        <v>60</v>
      </c>
      <c r="Y30" s="3" t="s">
        <v>481</v>
      </c>
      <c r="Z30" s="3" t="s">
        <v>161</v>
      </c>
      <c r="AA30" s="3" t="s">
        <v>482</v>
      </c>
      <c r="AB30" s="3" t="s">
        <v>474</v>
      </c>
      <c r="AC30" s="3" t="s">
        <v>185</v>
      </c>
      <c r="AD30" s="3" t="s">
        <v>483</v>
      </c>
      <c r="AE30" s="7" t="s">
        <v>76</v>
      </c>
      <c r="AF30" s="3" t="s">
        <v>77</v>
      </c>
      <c r="AG30" s="3" t="s">
        <v>78</v>
      </c>
      <c r="AH30" s="3" t="s">
        <v>79</v>
      </c>
      <c r="AI30" s="3" t="s">
        <v>80</v>
      </c>
      <c r="AJ30" s="3" t="str">
        <f t="shared" si="0"/>
        <v>-</v>
      </c>
      <c r="AK30" s="7" t="str">
        <f t="shared" si="1"/>
        <v>-</v>
      </c>
      <c r="AL30" s="3" t="str">
        <f t="shared" si="2"/>
        <v>-</v>
      </c>
      <c r="AM30" s="3" t="str">
        <f t="shared" si="3"/>
        <v>-</v>
      </c>
      <c r="AN30" s="3" t="str">
        <f t="shared" si="4"/>
        <v>-</v>
      </c>
      <c r="AO30" s="3" t="str">
        <f t="shared" si="5"/>
        <v>-</v>
      </c>
      <c r="AP30" s="3" t="s">
        <v>484</v>
      </c>
      <c r="AQ30" s="3" t="s">
        <v>82</v>
      </c>
      <c r="AR30" s="3" t="s">
        <v>83</v>
      </c>
      <c r="AS30" s="3">
        <v>725000</v>
      </c>
      <c r="AT30" s="3">
        <v>377000</v>
      </c>
      <c r="AU30" s="3">
        <v>0</v>
      </c>
      <c r="AV30" s="3">
        <v>3248000</v>
      </c>
      <c r="AW30" s="3" t="s">
        <v>84</v>
      </c>
      <c r="AX30" s="3" t="s">
        <v>85</v>
      </c>
      <c r="AY30" s="3" t="s">
        <v>485</v>
      </c>
      <c r="AZ30" s="3" t="s">
        <v>87</v>
      </c>
      <c r="BA30" s="3">
        <v>700000</v>
      </c>
      <c r="BB30" s="3" t="str">
        <f t="shared" si="12"/>
        <v>Sesuai jabatan</v>
      </c>
      <c r="BC30" s="3" t="s">
        <v>486</v>
      </c>
      <c r="BD30" s="3" t="s">
        <v>143</v>
      </c>
      <c r="BE30" s="3">
        <v>493000</v>
      </c>
      <c r="BF30" s="3" t="s">
        <v>144</v>
      </c>
    </row>
    <row r="31" spans="1:58" x14ac:dyDescent="0.25">
      <c r="A31" s="3" t="s">
        <v>487</v>
      </c>
      <c r="B31" s="3" t="s">
        <v>488</v>
      </c>
      <c r="C31" s="3" t="s">
        <v>489</v>
      </c>
      <c r="D31" s="3" t="s">
        <v>490</v>
      </c>
      <c r="E31" s="3" t="s">
        <v>56</v>
      </c>
      <c r="F31" s="3" t="s">
        <v>491</v>
      </c>
      <c r="G31" s="3" t="s">
        <v>492</v>
      </c>
      <c r="H31" s="3" t="s">
        <v>493</v>
      </c>
      <c r="I31" s="3" t="s">
        <v>60</v>
      </c>
      <c r="J31" s="3" t="s">
        <v>152</v>
      </c>
      <c r="K31" s="3" t="s">
        <v>62</v>
      </c>
      <c r="L31" s="3" t="s">
        <v>63</v>
      </c>
      <c r="M31" s="3" t="s">
        <v>64</v>
      </c>
      <c r="N31" s="3">
        <v>8000000</v>
      </c>
      <c r="O31" s="3">
        <v>15000000</v>
      </c>
      <c r="P31" s="3" t="s">
        <v>155</v>
      </c>
      <c r="Q31" s="3" t="s">
        <v>156</v>
      </c>
      <c r="R31" s="3" t="s">
        <v>157</v>
      </c>
      <c r="S31" s="3" t="s">
        <v>494</v>
      </c>
      <c r="T31" s="3" t="s">
        <v>69</v>
      </c>
      <c r="U31" s="3" t="s">
        <v>493</v>
      </c>
      <c r="V31" s="3" t="s">
        <v>495</v>
      </c>
      <c r="W31" s="3">
        <v>9200000</v>
      </c>
      <c r="X31" s="3" t="s">
        <v>60</v>
      </c>
      <c r="Y31" s="3" t="s">
        <v>496</v>
      </c>
      <c r="Z31" s="3" t="s">
        <v>72</v>
      </c>
      <c r="AA31" s="3" t="s">
        <v>497</v>
      </c>
      <c r="AB31" s="3" t="s">
        <v>489</v>
      </c>
      <c r="AC31" s="3" t="s">
        <v>185</v>
      </c>
      <c r="AD31" s="3" t="s">
        <v>498</v>
      </c>
      <c r="AE31" s="7" t="s">
        <v>76</v>
      </c>
      <c r="AF31" s="3" t="s">
        <v>77</v>
      </c>
      <c r="AG31" s="3" t="s">
        <v>78</v>
      </c>
      <c r="AH31" s="3" t="s">
        <v>79</v>
      </c>
      <c r="AI31" s="3" t="s">
        <v>80</v>
      </c>
      <c r="AJ31" s="3" t="str">
        <f t="shared" si="0"/>
        <v>LBR012</v>
      </c>
      <c r="AK31" s="7">
        <f t="shared" si="1"/>
        <v>45766</v>
      </c>
      <c r="AL31" s="3">
        <f t="shared" si="2"/>
        <v>2</v>
      </c>
      <c r="AM31" s="3" t="str">
        <f t="shared" si="3"/>
        <v>Koordinasi operasional</v>
      </c>
      <c r="AN31" s="3" t="str">
        <f t="shared" si="4"/>
        <v>Approved</v>
      </c>
      <c r="AO31" s="3">
        <f t="shared" si="5"/>
        <v>29000</v>
      </c>
      <c r="AP31" s="3" t="s">
        <v>499</v>
      </c>
      <c r="AQ31" s="3" t="s">
        <v>82</v>
      </c>
      <c r="AR31" s="3" t="s">
        <v>83</v>
      </c>
      <c r="AS31" s="3">
        <v>2300000</v>
      </c>
      <c r="AT31" s="3">
        <v>1196000</v>
      </c>
      <c r="AU31" s="3">
        <v>58000</v>
      </c>
      <c r="AV31" s="3">
        <v>10362000</v>
      </c>
      <c r="AW31" s="3" t="s">
        <v>84</v>
      </c>
      <c r="AX31" s="3" t="s">
        <v>85</v>
      </c>
      <c r="AY31" s="3" t="s">
        <v>500</v>
      </c>
      <c r="AZ31" s="3" t="s">
        <v>114</v>
      </c>
      <c r="BA31" s="3">
        <v>500000</v>
      </c>
      <c r="BB31" s="3" t="str">
        <f t="shared" si="12"/>
        <v>Biaya makan</v>
      </c>
      <c r="BC31" s="3" t="s">
        <v>501</v>
      </c>
      <c r="BD31" s="3" t="s">
        <v>89</v>
      </c>
      <c r="BE31" s="3">
        <v>137500</v>
      </c>
      <c r="BF31" s="3" t="s">
        <v>90</v>
      </c>
    </row>
    <row r="32" spans="1:58" x14ac:dyDescent="0.25">
      <c r="A32" s="3" t="s">
        <v>502</v>
      </c>
      <c r="B32" s="3" t="s">
        <v>503</v>
      </c>
      <c r="C32" s="3" t="s">
        <v>504</v>
      </c>
      <c r="D32" s="3" t="s">
        <v>505</v>
      </c>
      <c r="E32" s="3" t="s">
        <v>95</v>
      </c>
      <c r="F32" s="3" t="s">
        <v>506</v>
      </c>
      <c r="G32" s="3" t="s">
        <v>507</v>
      </c>
      <c r="H32" s="3" t="s">
        <v>508</v>
      </c>
      <c r="I32" s="3" t="s">
        <v>60</v>
      </c>
      <c r="J32" s="3" t="s">
        <v>174</v>
      </c>
      <c r="K32" s="3" t="s">
        <v>175</v>
      </c>
      <c r="L32" s="3" t="s">
        <v>176</v>
      </c>
      <c r="M32" s="3" t="s">
        <v>177</v>
      </c>
      <c r="N32" s="3">
        <v>2500000</v>
      </c>
      <c r="O32" s="3">
        <v>3500000</v>
      </c>
      <c r="P32" s="3" t="s">
        <v>178</v>
      </c>
      <c r="Q32" s="3" t="s">
        <v>179</v>
      </c>
      <c r="R32" s="3" t="s">
        <v>180</v>
      </c>
      <c r="S32" s="3" t="s">
        <v>509</v>
      </c>
      <c r="T32" s="3" t="s">
        <v>133</v>
      </c>
      <c r="U32" s="3" t="s">
        <v>508</v>
      </c>
      <c r="V32" s="3" t="s">
        <v>510</v>
      </c>
      <c r="W32" s="3">
        <v>2800000</v>
      </c>
      <c r="X32" s="3" t="s">
        <v>60</v>
      </c>
      <c r="Y32" s="3" t="s">
        <v>511</v>
      </c>
      <c r="Z32" s="3" t="s">
        <v>109</v>
      </c>
      <c r="AA32" s="3" t="s">
        <v>512</v>
      </c>
      <c r="AB32" s="3" t="s">
        <v>504</v>
      </c>
      <c r="AC32" s="3" t="s">
        <v>185</v>
      </c>
      <c r="AD32" s="3" t="s">
        <v>513</v>
      </c>
      <c r="AE32" s="7" t="s">
        <v>76</v>
      </c>
      <c r="AF32" s="3" t="s">
        <v>77</v>
      </c>
      <c r="AG32" s="3" t="s">
        <v>78</v>
      </c>
      <c r="AH32" s="3" t="s">
        <v>79</v>
      </c>
      <c r="AI32" s="3" t="s">
        <v>80</v>
      </c>
      <c r="AJ32" s="3" t="str">
        <f t="shared" si="0"/>
        <v>-</v>
      </c>
      <c r="AK32" s="7" t="str">
        <f t="shared" si="1"/>
        <v>-</v>
      </c>
      <c r="AL32" s="3" t="str">
        <f t="shared" si="2"/>
        <v>-</v>
      </c>
      <c r="AM32" s="3" t="str">
        <f t="shared" si="3"/>
        <v>-</v>
      </c>
      <c r="AN32" s="3" t="str">
        <f t="shared" si="4"/>
        <v>-</v>
      </c>
      <c r="AO32" s="3" t="str">
        <f t="shared" si="5"/>
        <v>-</v>
      </c>
      <c r="AP32" s="3" t="s">
        <v>514</v>
      </c>
      <c r="AQ32" s="3" t="s">
        <v>82</v>
      </c>
      <c r="AR32" s="3" t="s">
        <v>83</v>
      </c>
      <c r="AS32" s="3">
        <v>700000</v>
      </c>
      <c r="AT32" s="3">
        <v>364000</v>
      </c>
      <c r="AU32" s="3">
        <v>0</v>
      </c>
      <c r="AV32" s="3">
        <v>3136000</v>
      </c>
      <c r="AW32" s="3" t="s">
        <v>84</v>
      </c>
      <c r="AX32" s="3" t="s">
        <v>85</v>
      </c>
      <c r="AY32" s="3" t="s">
        <v>515</v>
      </c>
      <c r="AZ32" s="3" t="s">
        <v>141</v>
      </c>
      <c r="BA32" s="3">
        <v>200000</v>
      </c>
      <c r="BB32" s="3" t="str">
        <f t="shared" si="12"/>
        <v>Biaya transport</v>
      </c>
      <c r="BC32" s="3" t="s">
        <v>516</v>
      </c>
      <c r="BD32" s="3" t="s">
        <v>116</v>
      </c>
      <c r="BE32" s="3">
        <v>110000</v>
      </c>
      <c r="BF32" s="3" t="s">
        <v>117</v>
      </c>
    </row>
    <row r="33" spans="1:58" x14ac:dyDescent="0.25">
      <c r="A33" s="3" t="s">
        <v>517</v>
      </c>
      <c r="B33" s="3" t="s">
        <v>518</v>
      </c>
      <c r="C33" s="3" t="s">
        <v>519</v>
      </c>
      <c r="D33" s="3" t="s">
        <v>520</v>
      </c>
      <c r="E33" s="3" t="s">
        <v>56</v>
      </c>
      <c r="F33" s="3" t="s">
        <v>521</v>
      </c>
      <c r="G33" s="3" t="s">
        <v>522</v>
      </c>
      <c r="H33" s="3" t="s">
        <v>523</v>
      </c>
      <c r="I33" s="3" t="s">
        <v>60</v>
      </c>
      <c r="J33" s="3" t="s">
        <v>61</v>
      </c>
      <c r="K33" s="3" t="s">
        <v>153</v>
      </c>
      <c r="L33" s="3" t="s">
        <v>154</v>
      </c>
      <c r="M33" s="3" t="s">
        <v>128</v>
      </c>
      <c r="N33" s="3">
        <v>5000000</v>
      </c>
      <c r="O33" s="3">
        <v>8000000</v>
      </c>
      <c r="P33" s="3" t="s">
        <v>65</v>
      </c>
      <c r="Q33" s="3" t="s">
        <v>66</v>
      </c>
      <c r="R33" s="3" t="s">
        <v>67</v>
      </c>
      <c r="S33" s="3" t="s">
        <v>524</v>
      </c>
      <c r="T33" s="3" t="s">
        <v>69</v>
      </c>
      <c r="U33" s="3" t="s">
        <v>523</v>
      </c>
      <c r="V33" s="3" t="s">
        <v>525</v>
      </c>
      <c r="W33" s="3">
        <v>5400000</v>
      </c>
      <c r="X33" s="3" t="s">
        <v>60</v>
      </c>
      <c r="Y33" s="3" t="s">
        <v>526</v>
      </c>
      <c r="Z33" s="3" t="s">
        <v>200</v>
      </c>
      <c r="AA33" s="3" t="s">
        <v>527</v>
      </c>
      <c r="AB33" s="3" t="s">
        <v>519</v>
      </c>
      <c r="AC33" s="3" t="s">
        <v>185</v>
      </c>
      <c r="AD33" s="3" t="s">
        <v>528</v>
      </c>
      <c r="AE33" s="7" t="s">
        <v>76</v>
      </c>
      <c r="AF33" s="3" t="s">
        <v>77</v>
      </c>
      <c r="AG33" s="3" t="s">
        <v>78</v>
      </c>
      <c r="AH33" s="3" t="s">
        <v>79</v>
      </c>
      <c r="AI33" s="3" t="s">
        <v>80</v>
      </c>
      <c r="AJ33" s="3" t="str">
        <f t="shared" si="0"/>
        <v>-</v>
      </c>
      <c r="AK33" s="7" t="str">
        <f t="shared" si="1"/>
        <v>-</v>
      </c>
      <c r="AL33" s="3" t="str">
        <f t="shared" si="2"/>
        <v>-</v>
      </c>
      <c r="AM33" s="3" t="str">
        <f t="shared" si="3"/>
        <v>-</v>
      </c>
      <c r="AN33" s="3" t="str">
        <f t="shared" si="4"/>
        <v>-</v>
      </c>
      <c r="AO33" s="3" t="str">
        <f t="shared" si="5"/>
        <v>-</v>
      </c>
      <c r="AP33" s="3" t="s">
        <v>529</v>
      </c>
      <c r="AQ33" s="3" t="s">
        <v>82</v>
      </c>
      <c r="AR33" s="3" t="s">
        <v>83</v>
      </c>
      <c r="AS33" s="3">
        <v>1350000</v>
      </c>
      <c r="AT33" s="3">
        <v>702000</v>
      </c>
      <c r="AU33" s="3">
        <v>0</v>
      </c>
      <c r="AV33" s="3">
        <v>6048000</v>
      </c>
      <c r="AW33" s="3" t="s">
        <v>84</v>
      </c>
      <c r="AX33" s="3" t="s">
        <v>85</v>
      </c>
      <c r="AY33" s="3" t="s">
        <v>530</v>
      </c>
      <c r="AZ33" s="3" t="s">
        <v>87</v>
      </c>
      <c r="BA33" s="3" t="str">
        <f>"1400000"</f>
        <v>1400000</v>
      </c>
      <c r="BB33" s="3" t="str">
        <f t="shared" si="12"/>
        <v>Sesuai jabatan</v>
      </c>
      <c r="BC33" s="3" t="s">
        <v>531</v>
      </c>
      <c r="BD33" s="3" t="s">
        <v>143</v>
      </c>
      <c r="BE33" s="3">
        <v>467500</v>
      </c>
      <c r="BF33" s="3" t="s">
        <v>144</v>
      </c>
    </row>
    <row r="34" spans="1:58" x14ac:dyDescent="0.25">
      <c r="A34" s="3" t="s">
        <v>517</v>
      </c>
      <c r="B34" s="3" t="s">
        <v>518</v>
      </c>
      <c r="C34" s="3" t="s">
        <v>519</v>
      </c>
      <c r="D34" s="3" t="s">
        <v>520</v>
      </c>
      <c r="E34" s="3" t="s">
        <v>56</v>
      </c>
      <c r="F34" s="3" t="s">
        <v>521</v>
      </c>
      <c r="G34" s="3" t="s">
        <v>522</v>
      </c>
      <c r="H34" s="3" t="s">
        <v>523</v>
      </c>
      <c r="I34" s="3" t="s">
        <v>60</v>
      </c>
      <c r="J34" s="3" t="s">
        <v>61</v>
      </c>
      <c r="K34" s="3" t="s">
        <v>153</v>
      </c>
      <c r="L34" s="3" t="s">
        <v>154</v>
      </c>
      <c r="M34" s="3" t="s">
        <v>128</v>
      </c>
      <c r="N34" s="3">
        <v>5000000</v>
      </c>
      <c r="O34" s="3">
        <v>8000000</v>
      </c>
      <c r="P34" s="3" t="s">
        <v>65</v>
      </c>
      <c r="Q34" s="3" t="s">
        <v>66</v>
      </c>
      <c r="R34" s="3" t="s">
        <v>67</v>
      </c>
      <c r="S34" s="3" t="s">
        <v>524</v>
      </c>
      <c r="T34" s="3" t="s">
        <v>69</v>
      </c>
      <c r="U34" s="3" t="s">
        <v>523</v>
      </c>
      <c r="V34" s="3" t="s">
        <v>525</v>
      </c>
      <c r="W34" s="3">
        <v>5400000</v>
      </c>
      <c r="X34" s="3" t="s">
        <v>60</v>
      </c>
      <c r="Y34" s="3" t="s">
        <v>526</v>
      </c>
      <c r="Z34" s="3" t="s">
        <v>200</v>
      </c>
      <c r="AA34" s="3" t="s">
        <v>527</v>
      </c>
      <c r="AB34" s="3" t="s">
        <v>519</v>
      </c>
      <c r="AC34" s="3" t="s">
        <v>185</v>
      </c>
      <c r="AD34" s="3" t="s">
        <v>528</v>
      </c>
      <c r="AE34" s="7" t="s">
        <v>76</v>
      </c>
      <c r="AF34" s="3" t="s">
        <v>77</v>
      </c>
      <c r="AG34" s="3" t="s">
        <v>78</v>
      </c>
      <c r="AH34" s="3" t="s">
        <v>79</v>
      </c>
      <c r="AI34" s="3" t="s">
        <v>80</v>
      </c>
      <c r="AJ34" s="3" t="str">
        <f t="shared" ref="AJ34" si="41">_xlfn.IFS(
A34="K001","LBR001",
A34="K003","LBR002",
A34="K004","LBR003",
A34="K006","LBR004",
A34="K008","LBR005",
A34="K009","LBR006",
A34="K012","LBR007",
A34="K018","LBR008",
A34="K019","LBR009",
A34="K020","LBR010",
A34="K023","LBR011",
A34="K025","LBR012",
A34="K002","LBR013",
A34="K007","LBR014",
A34="K010","LBR015",
TRUE,"-"
)</f>
        <v>-</v>
      </c>
      <c r="AK34" s="7" t="str">
        <f t="shared" ref="AK34" si="42">_xlfn.IFS(
A34="K001",DATE(2025,4,8),
A34="K003",DATE(2025,4,9),
A34="K004",DATE(2025,4,10),
A34="K006",DATE(2025,4,11),
A34="K008",DATE(2025,4,12),
A34="K009",DATE(2025,4,13),
A34="K012",DATE(2025,4,14),
A34="K018",DATE(2025,4,15),
A34="K019",DATE(2025,4,16),
A34="K020",DATE(2025,4,17),
A34="K023",DATE(2025,4,18),
A34="K025",DATE(2025,4,19),
A34="K002",DATE(2025,4,20),
A34="K007",DATE(2025,4,22),
A34="K010",DATE(2025,4,23),
TRUE,"-"
)</f>
        <v>-</v>
      </c>
      <c r="AL34" s="3" t="str">
        <f t="shared" ref="AL34" si="43">_xlfn.IFS(
A34="K001",3,
A34="K003",2,
A34="K004",4,
A34="K006",2,
A34="K008",3,
A34="K009",5,
A34="K012",2,
A34="K018",3,
A34="K019",4,
A34="K020",2,
A34="K023",3,
A34="K025",2,
A34="K002",2,
A34="K007",3,
A34="K010",2,
TRUE,"-"
)</f>
        <v>-</v>
      </c>
      <c r="AM34" s="3" t="str">
        <f t="shared" ref="AM34" si="44">_xlfn.IFS(
A34="K001","Penyelesaian laporan bulanan",
A34="K003","Deploy sistem baru",
A34="K004","Event pemasaran",
A34="K006","Rekrutmen karyawan",
A34="K008","Audit keuangan",
A34="K009","Maintenance server",
A34="K012","Koordinasi SDM",
A34="K018","Rekonsiliasi data",
A34="K019","Pengembangan sistem",
A34="K020","Pameran produk",
A34="K023","Review laporan keuangan",
A34="K025","Koordinasi operasional",
A34="K002","Persiapan penggajian",
A34="K007","Testing aplikasi",
A34="K010","Analisis pasar",
TRUE,"-"
)</f>
        <v>-</v>
      </c>
      <c r="AN34" s="3" t="str">
        <f t="shared" ref="AN34" si="45">_xlfn.IFS(
A34="K001","Approved",
A34="K003","Approved",
A34="K004","Approved",
A34="K006","Approved",
A34="K008","Approved",
A34="K009","Approved",
A34="K012","Approved",
A34="K018","Approved",
A34="K019","Approved",
A34="K020","Approved",
A34="K023","Approved",
A34="K025","Approved",
A34="K002","Pending",
A34="K007","Pending",
A34="K010","Pending",
TRUE,"-"
)</f>
        <v>-</v>
      </c>
      <c r="AO34" s="3" t="str">
        <f t="shared" ref="AO34" si="46">_xlfn.IFS(
A34="K001",25000,
A34="K003",27500,
A34="K004",22000,
A34="K006",22000,
A34="K008",23000,
A34="K009",27500,
A34="K012",30000,
A34="K018",22000,
A34="K019",27500,
A34="K020",23000,
A34="K023",28000,
A34="K025",29000,
A34="K002",22500,
A34="K007",20000,
A34="K010",21000,
TRUE,"-"
)</f>
        <v>-</v>
      </c>
      <c r="AP34" s="3" t="s">
        <v>529</v>
      </c>
      <c r="AQ34" s="3" t="s">
        <v>82</v>
      </c>
      <c r="AR34" s="3" t="s">
        <v>83</v>
      </c>
      <c r="AS34" s="3">
        <v>1350000</v>
      </c>
      <c r="AT34" s="3">
        <v>702000</v>
      </c>
      <c r="AU34" s="3">
        <v>0</v>
      </c>
      <c r="AV34" s="3">
        <v>6048000</v>
      </c>
      <c r="AW34" s="3" t="s">
        <v>84</v>
      </c>
      <c r="AX34" s="3" t="s">
        <v>85</v>
      </c>
      <c r="AY34" s="3" t="s">
        <v>669</v>
      </c>
      <c r="AZ34" s="3" t="s">
        <v>114</v>
      </c>
      <c r="BA34" s="3" t="str">
        <f>"400000"</f>
        <v>400000</v>
      </c>
      <c r="BB34" s="3" t="str">
        <f t="shared" ref="BB34" si="47">_xlfn.IFS(
AZ34="Tunjangan Jabatan","Sesuai jabatan",
AZ34="Tunjangan Makan","Biaya makan",
AZ34="Tunjangan Transportasi","Biaya transport",
AZ34="Tunjangan Kesehatan","Biaya kesehatan"
)</f>
        <v>Biaya makan</v>
      </c>
      <c r="BC34" s="3" t="s">
        <v>531</v>
      </c>
      <c r="BD34" s="3" t="s">
        <v>143</v>
      </c>
      <c r="BE34" s="3">
        <v>467500</v>
      </c>
      <c r="BF34" s="3" t="s">
        <v>144</v>
      </c>
    </row>
    <row r="35" spans="1:58" x14ac:dyDescent="0.25">
      <c r="A35" s="3" t="s">
        <v>532</v>
      </c>
      <c r="B35" s="3" t="s">
        <v>533</v>
      </c>
      <c r="C35" s="3" t="s">
        <v>534</v>
      </c>
      <c r="D35" s="3" t="s">
        <v>535</v>
      </c>
      <c r="E35" s="3" t="s">
        <v>95</v>
      </c>
      <c r="F35" s="3" t="s">
        <v>536</v>
      </c>
      <c r="G35" s="3" t="s">
        <v>537</v>
      </c>
      <c r="H35" s="3" t="s">
        <v>538</v>
      </c>
      <c r="I35" s="3" t="s">
        <v>60</v>
      </c>
      <c r="J35" s="3" t="s">
        <v>99</v>
      </c>
      <c r="K35" s="3" t="s">
        <v>100</v>
      </c>
      <c r="L35" s="3" t="s">
        <v>101</v>
      </c>
      <c r="M35" s="3" t="s">
        <v>102</v>
      </c>
      <c r="N35" s="3">
        <v>3500000</v>
      </c>
      <c r="O35" s="3">
        <v>5500000</v>
      </c>
      <c r="P35" s="3" t="s">
        <v>103</v>
      </c>
      <c r="Q35" s="3" t="s">
        <v>104</v>
      </c>
      <c r="R35" s="3" t="s">
        <v>105</v>
      </c>
      <c r="S35" s="3" t="s">
        <v>539</v>
      </c>
      <c r="T35" s="3" t="s">
        <v>69</v>
      </c>
      <c r="U35" s="3" t="s">
        <v>538</v>
      </c>
      <c r="V35" s="3" t="s">
        <v>540</v>
      </c>
      <c r="W35" s="3">
        <v>4700000</v>
      </c>
      <c r="X35" s="3" t="s">
        <v>60</v>
      </c>
      <c r="Y35" s="3" t="s">
        <v>541</v>
      </c>
      <c r="Z35" s="3" t="s">
        <v>136</v>
      </c>
      <c r="AA35" s="3" t="s">
        <v>542</v>
      </c>
      <c r="AB35" s="3" t="s">
        <v>534</v>
      </c>
      <c r="AC35" s="3" t="s">
        <v>185</v>
      </c>
      <c r="AD35" s="3" t="s">
        <v>543</v>
      </c>
      <c r="AE35" s="7" t="s">
        <v>76</v>
      </c>
      <c r="AF35" s="3" t="s">
        <v>77</v>
      </c>
      <c r="AG35" s="3" t="s">
        <v>78</v>
      </c>
      <c r="AH35" s="3" t="s">
        <v>79</v>
      </c>
      <c r="AI35" s="3" t="s">
        <v>80</v>
      </c>
      <c r="AJ35" s="3" t="str">
        <f t="shared" si="0"/>
        <v>-</v>
      </c>
      <c r="AK35" s="7" t="str">
        <f t="shared" si="1"/>
        <v>-</v>
      </c>
      <c r="AL35" s="3" t="str">
        <f t="shared" si="2"/>
        <v>-</v>
      </c>
      <c r="AM35" s="3" t="str">
        <f t="shared" si="3"/>
        <v>-</v>
      </c>
      <c r="AN35" s="3" t="str">
        <f t="shared" si="4"/>
        <v>-</v>
      </c>
      <c r="AO35" s="3" t="str">
        <f t="shared" si="5"/>
        <v>-</v>
      </c>
      <c r="AP35" s="3" t="s">
        <v>544</v>
      </c>
      <c r="AQ35" s="3" t="s">
        <v>82</v>
      </c>
      <c r="AR35" s="3" t="s">
        <v>83</v>
      </c>
      <c r="AS35" s="3">
        <v>1175000</v>
      </c>
      <c r="AT35" s="3">
        <v>611000</v>
      </c>
      <c r="AU35" s="3">
        <v>0</v>
      </c>
      <c r="AV35" s="3">
        <v>5264000</v>
      </c>
      <c r="AW35" s="3" t="s">
        <v>84</v>
      </c>
      <c r="AX35" s="3" t="s">
        <v>85</v>
      </c>
      <c r="AY35" s="3" t="s">
        <v>545</v>
      </c>
      <c r="AZ35" s="3" t="s">
        <v>114</v>
      </c>
      <c r="BA35" s="3">
        <v>600000</v>
      </c>
      <c r="BB35" s="3" t="str">
        <f t="shared" si="12"/>
        <v>Biaya makan</v>
      </c>
      <c r="BC35" s="3" t="s">
        <v>546</v>
      </c>
      <c r="BD35" s="3" t="s">
        <v>89</v>
      </c>
      <c r="BE35" s="3">
        <v>237500</v>
      </c>
      <c r="BF35" s="3" t="s">
        <v>90</v>
      </c>
    </row>
    <row r="36" spans="1:58" x14ac:dyDescent="0.25">
      <c r="A36" s="3" t="s">
        <v>547</v>
      </c>
      <c r="B36" s="3" t="s">
        <v>548</v>
      </c>
      <c r="C36" s="3" t="s">
        <v>549</v>
      </c>
      <c r="D36" s="3" t="s">
        <v>550</v>
      </c>
      <c r="E36" s="3" t="s">
        <v>56</v>
      </c>
      <c r="F36" s="3" t="s">
        <v>551</v>
      </c>
      <c r="G36" s="3" t="s">
        <v>552</v>
      </c>
      <c r="H36" s="3" t="s">
        <v>553</v>
      </c>
      <c r="I36" s="3" t="s">
        <v>60</v>
      </c>
      <c r="J36" s="3" t="s">
        <v>125</v>
      </c>
      <c r="K36" s="3" t="s">
        <v>175</v>
      </c>
      <c r="L36" s="3" t="s">
        <v>176</v>
      </c>
      <c r="M36" s="3" t="s">
        <v>177</v>
      </c>
      <c r="N36" s="3">
        <v>2500000</v>
      </c>
      <c r="O36" s="3">
        <v>3500000</v>
      </c>
      <c r="P36" s="3" t="s">
        <v>129</v>
      </c>
      <c r="Q36" s="3" t="s">
        <v>130</v>
      </c>
      <c r="R36" s="3" t="s">
        <v>131</v>
      </c>
      <c r="S36" s="3" t="s">
        <v>554</v>
      </c>
      <c r="T36" s="3" t="s">
        <v>311</v>
      </c>
      <c r="U36" s="3" t="s">
        <v>553</v>
      </c>
      <c r="V36" s="3" t="s">
        <v>555</v>
      </c>
      <c r="W36" s="3">
        <v>2500000</v>
      </c>
      <c r="X36" s="3" t="s">
        <v>60</v>
      </c>
      <c r="Y36" s="3" t="s">
        <v>556</v>
      </c>
      <c r="Z36" s="3" t="s">
        <v>161</v>
      </c>
      <c r="AA36" s="3" t="s">
        <v>557</v>
      </c>
      <c r="AB36" s="3" t="s">
        <v>549</v>
      </c>
      <c r="AC36" s="3" t="s">
        <v>185</v>
      </c>
      <c r="AD36" s="3" t="s">
        <v>558</v>
      </c>
      <c r="AE36" s="7" t="s">
        <v>76</v>
      </c>
      <c r="AF36" s="3" t="s">
        <v>80</v>
      </c>
      <c r="AG36" s="3" t="s">
        <v>80</v>
      </c>
      <c r="AH36" s="3" t="s">
        <v>269</v>
      </c>
      <c r="AI36" s="3" t="s">
        <v>559</v>
      </c>
      <c r="AJ36" s="3" t="str">
        <f t="shared" si="0"/>
        <v>-</v>
      </c>
      <c r="AK36" s="7" t="str">
        <f t="shared" si="1"/>
        <v>-</v>
      </c>
      <c r="AL36" s="3" t="str">
        <f t="shared" si="2"/>
        <v>-</v>
      </c>
      <c r="AM36" s="3" t="str">
        <f t="shared" si="3"/>
        <v>-</v>
      </c>
      <c r="AN36" s="3" t="str">
        <f t="shared" si="4"/>
        <v>-</v>
      </c>
      <c r="AO36" s="3" t="str">
        <f t="shared" si="5"/>
        <v>-</v>
      </c>
      <c r="AP36" s="3" t="s">
        <v>560</v>
      </c>
      <c r="AQ36" s="3" t="s">
        <v>82</v>
      </c>
      <c r="AR36" s="3" t="s">
        <v>83</v>
      </c>
      <c r="AS36" s="3">
        <v>625000</v>
      </c>
      <c r="AT36" s="3">
        <v>325000</v>
      </c>
      <c r="AU36" s="3">
        <v>0</v>
      </c>
      <c r="AV36" s="3">
        <v>2800000</v>
      </c>
      <c r="AW36" s="3" t="s">
        <v>84</v>
      </c>
      <c r="AX36" s="3" t="s">
        <v>85</v>
      </c>
      <c r="AY36" s="3" t="s">
        <v>561</v>
      </c>
      <c r="AZ36" s="3" t="s">
        <v>141</v>
      </c>
      <c r="BA36" s="3">
        <v>400000</v>
      </c>
      <c r="BB36" s="3" t="str">
        <f t="shared" si="12"/>
        <v>Biaya transport</v>
      </c>
      <c r="BC36" s="3" t="s">
        <v>562</v>
      </c>
      <c r="BD36" s="3" t="s">
        <v>116</v>
      </c>
      <c r="BE36" s="3">
        <v>190000</v>
      </c>
      <c r="BF36" s="3" t="s">
        <v>117</v>
      </c>
    </row>
    <row r="37" spans="1:58" x14ac:dyDescent="0.25">
      <c r="A37" s="3" t="s">
        <v>563</v>
      </c>
      <c r="B37" s="3" t="s">
        <v>564</v>
      </c>
      <c r="C37" s="3" t="s">
        <v>565</v>
      </c>
      <c r="D37" s="3" t="s">
        <v>566</v>
      </c>
      <c r="E37" s="3" t="s">
        <v>95</v>
      </c>
      <c r="F37" s="3" t="s">
        <v>567</v>
      </c>
      <c r="G37" s="3" t="s">
        <v>568</v>
      </c>
      <c r="H37" s="3" t="s">
        <v>569</v>
      </c>
      <c r="I37" s="3" t="s">
        <v>60</v>
      </c>
      <c r="J37" s="3" t="s">
        <v>174</v>
      </c>
      <c r="K37" s="3" t="s">
        <v>153</v>
      </c>
      <c r="L37" s="3" t="s">
        <v>154</v>
      </c>
      <c r="M37" s="3" t="s">
        <v>128</v>
      </c>
      <c r="N37" s="3">
        <v>5000000</v>
      </c>
      <c r="O37" s="3">
        <v>8000000</v>
      </c>
      <c r="P37" s="3" t="s">
        <v>178</v>
      </c>
      <c r="Q37" s="3" t="s">
        <v>179</v>
      </c>
      <c r="R37" s="3" t="s">
        <v>180</v>
      </c>
      <c r="S37" s="3" t="s">
        <v>570</v>
      </c>
      <c r="T37" s="3" t="s">
        <v>69</v>
      </c>
      <c r="U37" s="3" t="s">
        <v>569</v>
      </c>
      <c r="V37" s="3" t="s">
        <v>571</v>
      </c>
      <c r="W37" s="3">
        <v>5600000</v>
      </c>
      <c r="X37" s="3" t="s">
        <v>60</v>
      </c>
      <c r="Y37" s="3" t="s">
        <v>572</v>
      </c>
      <c r="Z37" s="3" t="s">
        <v>72</v>
      </c>
      <c r="AA37" s="3" t="s">
        <v>573</v>
      </c>
      <c r="AB37" s="3" t="s">
        <v>565</v>
      </c>
      <c r="AC37" s="3" t="s">
        <v>185</v>
      </c>
      <c r="AD37" s="3" t="s">
        <v>574</v>
      </c>
      <c r="AE37" s="7">
        <v>45754</v>
      </c>
      <c r="AF37" s="8">
        <v>0.33333333333333331</v>
      </c>
      <c r="AG37" s="8">
        <v>0.70833333333333337</v>
      </c>
      <c r="AH37" s="3" t="s">
        <v>79</v>
      </c>
      <c r="AI37" s="3" t="s">
        <v>80</v>
      </c>
      <c r="AJ37" s="3" t="str">
        <f t="shared" si="0"/>
        <v>-</v>
      </c>
      <c r="AK37" s="7" t="str">
        <f t="shared" si="1"/>
        <v>-</v>
      </c>
      <c r="AL37" s="3" t="str">
        <f t="shared" si="2"/>
        <v>-</v>
      </c>
      <c r="AM37" s="3" t="str">
        <f t="shared" si="3"/>
        <v>-</v>
      </c>
      <c r="AN37" s="3" t="str">
        <f t="shared" si="4"/>
        <v>-</v>
      </c>
      <c r="AO37" s="3" t="str">
        <f t="shared" si="5"/>
        <v>-</v>
      </c>
      <c r="AP37" s="3" t="s">
        <v>575</v>
      </c>
      <c r="AQ37" s="3" t="s">
        <v>82</v>
      </c>
      <c r="AR37" s="3" t="s">
        <v>83</v>
      </c>
      <c r="AS37" s="3">
        <v>1400000</v>
      </c>
      <c r="AT37" s="3">
        <v>728000</v>
      </c>
      <c r="AU37" s="3">
        <v>0</v>
      </c>
      <c r="AV37" s="3">
        <v>6272000</v>
      </c>
      <c r="AW37" s="3" t="s">
        <v>84</v>
      </c>
      <c r="AX37" s="3" t="s">
        <v>85</v>
      </c>
      <c r="AY37" s="3" t="s">
        <v>576</v>
      </c>
      <c r="AZ37" s="3" t="s">
        <v>87</v>
      </c>
      <c r="BA37" s="3">
        <v>1300000</v>
      </c>
      <c r="BB37" s="3" t="str">
        <f t="shared" si="12"/>
        <v>Sesuai jabatan</v>
      </c>
      <c r="BC37" s="3" t="s">
        <v>577</v>
      </c>
      <c r="BD37" s="3" t="s">
        <v>143</v>
      </c>
      <c r="BE37" s="3">
        <v>807500</v>
      </c>
      <c r="BF37" s="3" t="s">
        <v>144</v>
      </c>
    </row>
    <row r="38" spans="1:58" x14ac:dyDescent="0.25">
      <c r="A38" s="3" t="s">
        <v>563</v>
      </c>
      <c r="B38" s="3" t="s">
        <v>564</v>
      </c>
      <c r="C38" s="3" t="s">
        <v>565</v>
      </c>
      <c r="D38" s="3" t="s">
        <v>566</v>
      </c>
      <c r="E38" s="3" t="s">
        <v>95</v>
      </c>
      <c r="F38" s="3" t="s">
        <v>567</v>
      </c>
      <c r="G38" s="3" t="s">
        <v>568</v>
      </c>
      <c r="H38" s="3" t="s">
        <v>569</v>
      </c>
      <c r="I38" s="3" t="s">
        <v>60</v>
      </c>
      <c r="J38" s="3" t="s">
        <v>174</v>
      </c>
      <c r="K38" s="3" t="s">
        <v>153</v>
      </c>
      <c r="L38" s="3" t="s">
        <v>154</v>
      </c>
      <c r="M38" s="3" t="s">
        <v>128</v>
      </c>
      <c r="N38" s="3">
        <v>5000000</v>
      </c>
      <c r="O38" s="3">
        <v>8000000</v>
      </c>
      <c r="P38" s="3" t="s">
        <v>178</v>
      </c>
      <c r="Q38" s="3" t="s">
        <v>179</v>
      </c>
      <c r="R38" s="3" t="s">
        <v>180</v>
      </c>
      <c r="S38" s="3" t="s">
        <v>570</v>
      </c>
      <c r="T38" s="3" t="s">
        <v>69</v>
      </c>
      <c r="U38" s="3" t="s">
        <v>569</v>
      </c>
      <c r="V38" s="3" t="s">
        <v>571</v>
      </c>
      <c r="W38" s="3">
        <v>5600000</v>
      </c>
      <c r="X38" s="3" t="s">
        <v>60</v>
      </c>
      <c r="Y38" s="3" t="s">
        <v>572</v>
      </c>
      <c r="Z38" s="3" t="s">
        <v>72</v>
      </c>
      <c r="AA38" s="3" t="s">
        <v>573</v>
      </c>
      <c r="AB38" s="3" t="s">
        <v>565</v>
      </c>
      <c r="AC38" s="3" t="s">
        <v>185</v>
      </c>
      <c r="AD38" s="3" t="s">
        <v>663</v>
      </c>
      <c r="AE38" s="7">
        <v>45759</v>
      </c>
      <c r="AF38" s="3" t="s">
        <v>80</v>
      </c>
      <c r="AG38" s="3" t="s">
        <v>80</v>
      </c>
      <c r="AH38" s="3" t="s">
        <v>596</v>
      </c>
      <c r="AI38" s="3" t="s">
        <v>597</v>
      </c>
      <c r="AJ38" s="3" t="str">
        <f t="shared" ref="AJ38" si="48">_xlfn.IFS(
A38="K001","LBR001",
A38="K003","LBR002",
A38="K004","LBR003",
A38="K006","LBR004",
A38="K008","LBR005",
A38="K009","LBR006",
A38="K012","LBR007",
A38="K018","LBR008",
A38="K019","LBR009",
A38="K020","LBR010",
A38="K023","LBR011",
A38="K025","LBR012",
A38="K002","LBR013",
A38="K007","LBR014",
A38="K010","LBR015",
TRUE,"-"
)</f>
        <v>-</v>
      </c>
      <c r="AK38" s="7" t="str">
        <f t="shared" ref="AK38" si="49">_xlfn.IFS(
A38="K001",DATE(2025,4,8),
A38="K003",DATE(2025,4,9),
A38="K004",DATE(2025,4,10),
A38="K006",DATE(2025,4,11),
A38="K008",DATE(2025,4,12),
A38="K009",DATE(2025,4,13),
A38="K012",DATE(2025,4,14),
A38="K018",DATE(2025,4,15),
A38="K019",DATE(2025,4,16),
A38="K020",DATE(2025,4,17),
A38="K023",DATE(2025,4,18),
A38="K025",DATE(2025,4,19),
A38="K002",DATE(2025,4,20),
A38="K007",DATE(2025,4,22),
A38="K010",DATE(2025,4,23),
TRUE,"-"
)</f>
        <v>-</v>
      </c>
      <c r="AL38" s="3" t="str">
        <f t="shared" ref="AL38" si="50">_xlfn.IFS(
A38="K001",3,
A38="K003",2,
A38="K004",4,
A38="K006",2,
A38="K008",3,
A38="K009",5,
A38="K012",2,
A38="K018",3,
A38="K019",4,
A38="K020",2,
A38="K023",3,
A38="K025",2,
A38="K002",2,
A38="K007",3,
A38="K010",2,
TRUE,"-"
)</f>
        <v>-</v>
      </c>
      <c r="AM38" s="3" t="str">
        <f t="shared" ref="AM38" si="51">_xlfn.IFS(
A38="K001","Penyelesaian laporan bulanan",
A38="K003","Deploy sistem baru",
A38="K004","Event pemasaran",
A38="K006","Rekrutmen karyawan",
A38="K008","Audit keuangan",
A38="K009","Maintenance server",
A38="K012","Koordinasi SDM",
A38="K018","Rekonsiliasi data",
A38="K019","Pengembangan sistem",
A38="K020","Pameran produk",
A38="K023","Review laporan keuangan",
A38="K025","Koordinasi operasional",
A38="K002","Persiapan penggajian",
A38="K007","Testing aplikasi",
A38="K010","Analisis pasar",
TRUE,"-"
)</f>
        <v>-</v>
      </c>
      <c r="AN38" s="3" t="str">
        <f t="shared" ref="AN38" si="52">_xlfn.IFS(
A38="K001","Approved",
A38="K003","Approved",
A38="K004","Approved",
A38="K006","Approved",
A38="K008","Approved",
A38="K009","Approved",
A38="K012","Approved",
A38="K018","Approved",
A38="K019","Approved",
A38="K020","Approved",
A38="K023","Approved",
A38="K025","Approved",
A38="K002","Pending",
A38="K007","Pending",
A38="K010","Pending",
TRUE,"-"
)</f>
        <v>-</v>
      </c>
      <c r="AO38" s="3" t="str">
        <f t="shared" ref="AO38" si="53">_xlfn.IFS(
A38="K001",25000,
A38="K003",27500,
A38="K004",22000,
A38="K006",22000,
A38="K008",23000,
A38="K009",27500,
A38="K012",30000,
A38="K018",22000,
A38="K019",27500,
A38="K020",23000,
A38="K023",28000,
A38="K025",29000,
A38="K002",22500,
A38="K007",20000,
A38="K010",21000,
TRUE,"-"
)</f>
        <v>-</v>
      </c>
      <c r="AP38" s="3" t="s">
        <v>575</v>
      </c>
      <c r="AQ38" s="3" t="s">
        <v>82</v>
      </c>
      <c r="AR38" s="3" t="s">
        <v>83</v>
      </c>
      <c r="AS38" s="3">
        <v>1400000</v>
      </c>
      <c r="AT38" s="3">
        <v>728000</v>
      </c>
      <c r="AU38" s="3">
        <v>0</v>
      </c>
      <c r="AV38" s="3">
        <v>6272000</v>
      </c>
      <c r="AW38" s="3" t="s">
        <v>84</v>
      </c>
      <c r="AX38" s="3" t="s">
        <v>85</v>
      </c>
      <c r="AY38" s="3" t="s">
        <v>576</v>
      </c>
      <c r="AZ38" s="3" t="s">
        <v>87</v>
      </c>
      <c r="BA38" s="3">
        <v>1300000</v>
      </c>
      <c r="BB38" s="3" t="str">
        <f t="shared" ref="BB38" si="54">_xlfn.IFS(
AZ38="Tunjangan Jabatan","Sesuai jabatan",
AZ38="Tunjangan Makan","Biaya makan",
AZ38="Tunjangan Transportasi","Biaya transport",
AZ38="Tunjangan Kesehatan","Biaya kesehatan"
)</f>
        <v>Sesuai jabatan</v>
      </c>
      <c r="BC38" s="3" t="s">
        <v>577</v>
      </c>
      <c r="BD38" s="3" t="s">
        <v>143</v>
      </c>
      <c r="BE38" s="3">
        <v>807500</v>
      </c>
      <c r="BF38" s="3" t="s">
        <v>144</v>
      </c>
    </row>
    <row r="42" spans="1:58" x14ac:dyDescent="0.25">
      <c r="AD42" s="29"/>
      <c r="AE42" s="30"/>
      <c r="AF42" s="29"/>
      <c r="AG42" s="29"/>
      <c r="AH42" s="29"/>
      <c r="AI42" s="29"/>
      <c r="AJ42" s="35"/>
      <c r="AK42" s="29"/>
      <c r="AL42" s="29"/>
      <c r="AM42" s="29"/>
      <c r="AN42" s="29"/>
      <c r="AO42" s="35"/>
    </row>
    <row r="43" spans="1:58" x14ac:dyDescent="0.25">
      <c r="AD43" s="29"/>
      <c r="AE43" s="30"/>
      <c r="AF43" s="31"/>
      <c r="AG43" s="31"/>
      <c r="AH43" s="29"/>
      <c r="AI43" s="29"/>
      <c r="AJ43" s="35"/>
      <c r="AK43" s="29"/>
      <c r="AL43" s="29"/>
      <c r="AM43" s="29"/>
      <c r="AN43" s="29"/>
      <c r="AO43" s="35"/>
    </row>
    <row r="44" spans="1:58" x14ac:dyDescent="0.25">
      <c r="AD44" s="29"/>
      <c r="AE44" s="30"/>
      <c r="AF44" s="29"/>
      <c r="AG44" s="29"/>
      <c r="AH44" s="29"/>
      <c r="AI44" s="29"/>
      <c r="AJ44" s="35"/>
      <c r="AK44" s="29"/>
      <c r="AL44" s="29"/>
      <c r="AM44" s="29"/>
      <c r="AN44" s="29"/>
      <c r="AO44" s="35"/>
    </row>
    <row r="45" spans="1:58" x14ac:dyDescent="0.25">
      <c r="AD45" s="29"/>
      <c r="AE45" s="30"/>
      <c r="AF45" s="29"/>
      <c r="AG45" s="29"/>
      <c r="AH45" s="29"/>
      <c r="AI45" s="29"/>
      <c r="AJ45" s="35"/>
      <c r="AK45" s="29"/>
      <c r="AL45" s="29"/>
      <c r="AM45" s="29"/>
      <c r="AN45" s="29"/>
      <c r="AO45" s="35"/>
    </row>
    <row r="46" spans="1:58" x14ac:dyDescent="0.25">
      <c r="AD46" s="29"/>
      <c r="AE46" s="30"/>
      <c r="AF46" s="29"/>
      <c r="AG46" s="29"/>
      <c r="AH46" s="29"/>
      <c r="AI46" s="29"/>
      <c r="AJ46" s="35"/>
      <c r="AK46" s="29"/>
      <c r="AL46" s="29"/>
      <c r="AM46" s="29"/>
      <c r="AN46" s="29"/>
      <c r="AO46" s="35"/>
    </row>
    <row r="47" spans="1:58" x14ac:dyDescent="0.25">
      <c r="AD47" s="29"/>
      <c r="AE47" s="30"/>
      <c r="AF47" s="29"/>
      <c r="AG47" s="29"/>
      <c r="AH47" s="29"/>
      <c r="AI47" s="29"/>
      <c r="AJ47" s="35"/>
      <c r="AK47" s="29"/>
      <c r="AL47" s="29"/>
      <c r="AM47" s="29"/>
      <c r="AN47" s="29"/>
      <c r="AO47" s="35"/>
    </row>
    <row r="48" spans="1:58" x14ac:dyDescent="0.25">
      <c r="AD48" s="29"/>
      <c r="AE48" s="30"/>
      <c r="AF48" s="29"/>
      <c r="AG48" s="29"/>
      <c r="AH48" s="29"/>
      <c r="AI48" s="29"/>
      <c r="AJ48" s="35"/>
      <c r="AK48" s="29"/>
      <c r="AL48" s="29"/>
      <c r="AM48" s="29"/>
      <c r="AN48" s="29"/>
      <c r="AO48" s="35"/>
    </row>
    <row r="49" spans="30:41" x14ac:dyDescent="0.25">
      <c r="AD49" s="29"/>
      <c r="AE49" s="30"/>
      <c r="AF49" s="29"/>
      <c r="AG49" s="29"/>
      <c r="AH49" s="29"/>
      <c r="AI49" s="29"/>
      <c r="AJ49" s="35"/>
      <c r="AK49" s="29"/>
      <c r="AL49" s="29"/>
      <c r="AM49" s="29"/>
      <c r="AN49" s="29"/>
      <c r="AO49" s="35"/>
    </row>
    <row r="50" spans="30:41" x14ac:dyDescent="0.25">
      <c r="AD50" s="29"/>
      <c r="AE50" s="30"/>
      <c r="AF50" s="29"/>
      <c r="AG50" s="29"/>
      <c r="AH50" s="29"/>
      <c r="AI50" s="29"/>
      <c r="AJ50" s="35"/>
      <c r="AK50" s="29"/>
      <c r="AL50" s="29"/>
      <c r="AM50" s="29"/>
      <c r="AN50" s="29"/>
      <c r="AO50" s="35"/>
    </row>
    <row r="51" spans="30:41" x14ac:dyDescent="0.25">
      <c r="AD51" s="29"/>
      <c r="AE51" s="30"/>
      <c r="AF51" s="29"/>
      <c r="AG51" s="29"/>
      <c r="AH51" s="29"/>
      <c r="AI51" s="29"/>
      <c r="AJ51" s="35"/>
      <c r="AK51" s="29"/>
      <c r="AL51" s="29"/>
      <c r="AM51" s="29"/>
      <c r="AN51" s="29"/>
      <c r="AO51" s="35"/>
    </row>
    <row r="52" spans="30:41" x14ac:dyDescent="0.25">
      <c r="AD52" s="29"/>
      <c r="AE52" s="30"/>
      <c r="AF52" s="29"/>
      <c r="AG52" s="29"/>
      <c r="AH52" s="29"/>
      <c r="AI52" s="29"/>
      <c r="AJ52" s="35"/>
      <c r="AK52" s="29"/>
      <c r="AL52" s="29"/>
      <c r="AM52" s="29"/>
      <c r="AN52" s="29"/>
      <c r="AO52" s="35"/>
    </row>
    <row r="53" spans="30:41" x14ac:dyDescent="0.25">
      <c r="AD53" s="29"/>
      <c r="AE53" s="30"/>
      <c r="AF53" s="29"/>
      <c r="AG53" s="29"/>
      <c r="AH53" s="29"/>
      <c r="AI53" s="29"/>
      <c r="AJ53" s="35"/>
      <c r="AK53" s="29"/>
      <c r="AL53" s="29"/>
      <c r="AM53" s="29"/>
      <c r="AN53" s="29"/>
      <c r="AO53" s="35"/>
    </row>
    <row r="54" spans="30:41" x14ac:dyDescent="0.25">
      <c r="AD54" s="29"/>
      <c r="AE54" s="30"/>
      <c r="AF54" s="29"/>
      <c r="AG54" s="29"/>
      <c r="AH54" s="29"/>
      <c r="AI54" s="29"/>
      <c r="AJ54" s="35"/>
      <c r="AK54" s="29"/>
      <c r="AL54" s="29"/>
      <c r="AM54" s="29"/>
      <c r="AN54" s="29"/>
      <c r="AO54" s="35"/>
    </row>
    <row r="55" spans="30:41" x14ac:dyDescent="0.25">
      <c r="AD55" s="29"/>
      <c r="AE55" s="30"/>
      <c r="AF55" s="29"/>
      <c r="AG55" s="29"/>
      <c r="AH55" s="29"/>
      <c r="AI55" s="29"/>
      <c r="AJ55" s="35"/>
      <c r="AK55" s="29"/>
      <c r="AL55" s="29"/>
      <c r="AM55" s="29"/>
      <c r="AN55" s="29"/>
      <c r="AO55" s="35"/>
    </row>
    <row r="56" spans="30:41" x14ac:dyDescent="0.25">
      <c r="AD56" s="29"/>
      <c r="AE56" s="30"/>
      <c r="AF56" s="29"/>
      <c r="AG56" s="29"/>
      <c r="AH56" s="29"/>
      <c r="AI56" s="29"/>
      <c r="AJ56" s="35"/>
      <c r="AK56" s="29"/>
      <c r="AL56" s="29"/>
      <c r="AM56" s="29"/>
      <c r="AN56" s="29"/>
      <c r="AO56" s="35"/>
    </row>
    <row r="57" spans="30:41" x14ac:dyDescent="0.25">
      <c r="AD57" s="29"/>
      <c r="AE57" s="30"/>
      <c r="AF57" s="31"/>
      <c r="AG57" s="31"/>
      <c r="AH57" s="29"/>
      <c r="AI57" s="29"/>
      <c r="AJ57" s="35"/>
      <c r="AK57" s="29"/>
      <c r="AL57" s="29"/>
      <c r="AM57" s="29"/>
      <c r="AN57" s="29"/>
      <c r="AO57" s="35"/>
    </row>
    <row r="58" spans="30:41" x14ac:dyDescent="0.25">
      <c r="AD58" s="29"/>
      <c r="AE58" s="30"/>
      <c r="AF58" s="29"/>
      <c r="AG58" s="29"/>
      <c r="AH58" s="29"/>
      <c r="AI58" s="29"/>
      <c r="AJ58" s="35"/>
      <c r="AK58" s="29"/>
      <c r="AL58" s="29"/>
      <c r="AM58" s="29"/>
      <c r="AN58" s="29"/>
      <c r="AO58" s="35"/>
    </row>
    <row r="59" spans="30:41" x14ac:dyDescent="0.25">
      <c r="AD59" s="29"/>
      <c r="AE59" s="30"/>
      <c r="AF59" s="29"/>
      <c r="AG59" s="29"/>
      <c r="AH59" s="29"/>
      <c r="AI59" s="29"/>
      <c r="AJ59" s="35"/>
      <c r="AK59" s="29"/>
      <c r="AL59" s="29"/>
      <c r="AM59" s="29"/>
      <c r="AN59" s="29"/>
      <c r="AO59" s="35"/>
    </row>
    <row r="60" spans="30:41" x14ac:dyDescent="0.25">
      <c r="AD60" s="29"/>
      <c r="AE60" s="30"/>
      <c r="AF60" s="29"/>
      <c r="AG60" s="29"/>
      <c r="AH60" s="29"/>
      <c r="AI60" s="29"/>
      <c r="AJ60" s="35"/>
      <c r="AK60" s="29"/>
      <c r="AL60" s="29"/>
      <c r="AM60" s="29"/>
      <c r="AN60" s="29"/>
      <c r="AO60" s="35"/>
    </row>
    <row r="61" spans="30:41" x14ac:dyDescent="0.25">
      <c r="AD61" s="29"/>
      <c r="AE61" s="30"/>
      <c r="AF61" s="29"/>
      <c r="AG61" s="29"/>
      <c r="AH61" s="29"/>
      <c r="AI61" s="29"/>
      <c r="AJ61" s="35"/>
      <c r="AK61" s="29"/>
      <c r="AL61" s="29"/>
      <c r="AM61" s="29"/>
      <c r="AN61" s="29"/>
      <c r="AO61" s="35"/>
    </row>
    <row r="62" spans="30:41" x14ac:dyDescent="0.25">
      <c r="AD62" s="29"/>
      <c r="AE62" s="30"/>
      <c r="AF62" s="29"/>
      <c r="AG62" s="29"/>
      <c r="AH62" s="29"/>
      <c r="AI62" s="29"/>
      <c r="AJ62" s="35"/>
      <c r="AK62" s="29"/>
      <c r="AL62" s="29"/>
      <c r="AM62" s="29"/>
      <c r="AN62" s="29"/>
      <c r="AO62" s="35"/>
    </row>
    <row r="63" spans="30:41" x14ac:dyDescent="0.25">
      <c r="AD63" s="29"/>
      <c r="AE63" s="30"/>
      <c r="AF63" s="29"/>
      <c r="AG63" s="29"/>
      <c r="AH63" s="29"/>
      <c r="AI63" s="29"/>
      <c r="AJ63" s="35"/>
      <c r="AK63" s="29"/>
      <c r="AL63" s="29"/>
      <c r="AM63" s="29"/>
      <c r="AN63" s="29"/>
      <c r="AO63" s="35"/>
    </row>
    <row r="64" spans="30:41" x14ac:dyDescent="0.25">
      <c r="AD64" s="29"/>
      <c r="AE64" s="30"/>
      <c r="AF64" s="29"/>
      <c r="AG64" s="29"/>
      <c r="AH64" s="29"/>
      <c r="AI64" s="29"/>
      <c r="AJ64" s="35"/>
      <c r="AK64" s="29"/>
      <c r="AL64" s="29"/>
      <c r="AM64" s="29"/>
      <c r="AN64" s="29"/>
      <c r="AO64" s="35"/>
    </row>
    <row r="65" spans="30:41" x14ac:dyDescent="0.25">
      <c r="AD65" s="29"/>
      <c r="AE65" s="30"/>
      <c r="AF65" s="29"/>
      <c r="AG65" s="29"/>
      <c r="AH65" s="29"/>
      <c r="AI65" s="29"/>
      <c r="AJ65" s="35"/>
      <c r="AK65" s="29"/>
      <c r="AL65" s="29"/>
      <c r="AM65" s="29"/>
      <c r="AN65" s="29"/>
      <c r="AO65" s="35"/>
    </row>
    <row r="66" spans="30:41" x14ac:dyDescent="0.25">
      <c r="AD66" s="29"/>
      <c r="AE66" s="30"/>
      <c r="AF66" s="29"/>
      <c r="AG66" s="29"/>
      <c r="AH66" s="29"/>
      <c r="AI66" s="29"/>
      <c r="AJ66" s="35"/>
      <c r="AK66" s="29"/>
      <c r="AL66" s="29"/>
      <c r="AM66" s="29"/>
      <c r="AN66" s="29"/>
      <c r="AO66" s="35"/>
    </row>
    <row r="67" spans="30:41" x14ac:dyDescent="0.25">
      <c r="AD67" s="29"/>
      <c r="AE67" s="30"/>
      <c r="AF67" s="29"/>
      <c r="AG67" s="29"/>
      <c r="AH67" s="29"/>
      <c r="AI67" s="29"/>
      <c r="AJ67" s="35"/>
      <c r="AK67" s="29"/>
      <c r="AL67" s="29"/>
      <c r="AM67" s="29"/>
      <c r="AN67" s="29"/>
      <c r="AO67" s="35"/>
    </row>
    <row r="68" spans="30:41" x14ac:dyDescent="0.25">
      <c r="AD68" s="29"/>
      <c r="AE68" s="30"/>
      <c r="AF68" s="29"/>
      <c r="AG68" s="29"/>
      <c r="AH68" s="29"/>
      <c r="AI68" s="29"/>
      <c r="AJ68" s="35"/>
      <c r="AK68" s="29"/>
      <c r="AL68" s="29"/>
      <c r="AM68" s="29"/>
      <c r="AN68" s="29"/>
      <c r="AO68" s="35"/>
    </row>
    <row r="69" spans="30:41" x14ac:dyDescent="0.25">
      <c r="AD69" s="29"/>
      <c r="AE69" s="30"/>
      <c r="AF69" s="29"/>
      <c r="AG69" s="29"/>
      <c r="AH69" s="29"/>
      <c r="AI69" s="29"/>
      <c r="AJ69" s="35"/>
      <c r="AK69" s="29"/>
      <c r="AL69" s="29"/>
      <c r="AM69" s="29"/>
      <c r="AN69" s="29"/>
      <c r="AO69" s="35"/>
    </row>
    <row r="70" spans="30:41" x14ac:dyDescent="0.25">
      <c r="AD70" s="29"/>
      <c r="AE70" s="30"/>
      <c r="AF70" s="29"/>
      <c r="AG70" s="29"/>
      <c r="AH70" s="29"/>
      <c r="AI70" s="29"/>
      <c r="AJ70" s="35"/>
      <c r="AK70" s="29"/>
      <c r="AL70" s="29"/>
      <c r="AM70" s="29"/>
      <c r="AN70" s="29"/>
      <c r="AO70" s="35"/>
    </row>
    <row r="71" spans="30:41" x14ac:dyDescent="0.25">
      <c r="AD71" s="29"/>
      <c r="AE71" s="30"/>
      <c r="AF71" s="29"/>
      <c r="AG71" s="29"/>
      <c r="AH71" s="29"/>
      <c r="AI71" s="29"/>
      <c r="AJ71" s="35"/>
      <c r="AK71" s="29"/>
      <c r="AL71" s="29"/>
      <c r="AM71" s="29"/>
      <c r="AN71" s="29"/>
      <c r="AO71" s="35"/>
    </row>
    <row r="72" spans="30:41" x14ac:dyDescent="0.25">
      <c r="AD72" s="29"/>
      <c r="AE72" s="30"/>
      <c r="AF72" s="29"/>
      <c r="AG72" s="29"/>
      <c r="AH72" s="29"/>
      <c r="AI72" s="29"/>
      <c r="AJ72" s="35"/>
      <c r="AK72" s="29"/>
      <c r="AL72" s="29"/>
      <c r="AM72" s="29"/>
      <c r="AN72" s="29"/>
      <c r="AO72" s="35"/>
    </row>
    <row r="73" spans="30:41" x14ac:dyDescent="0.25">
      <c r="AD73" s="29"/>
      <c r="AE73" s="30"/>
      <c r="AF73" s="29"/>
      <c r="AG73" s="29"/>
      <c r="AH73" s="29"/>
      <c r="AI73" s="29"/>
      <c r="AJ73" s="35"/>
      <c r="AK73" s="29"/>
      <c r="AL73" s="29"/>
      <c r="AM73" s="29"/>
      <c r="AN73" s="29"/>
      <c r="AO73" s="35"/>
    </row>
    <row r="74" spans="30:41" x14ac:dyDescent="0.25">
      <c r="AD74" s="29"/>
      <c r="AE74" s="30"/>
      <c r="AF74" s="31"/>
      <c r="AG74" s="31"/>
      <c r="AH74" s="29"/>
      <c r="AI74" s="29"/>
      <c r="AJ74" s="35"/>
      <c r="AK74" s="29"/>
      <c r="AL74" s="29"/>
      <c r="AM74" s="29"/>
      <c r="AN74" s="29"/>
      <c r="AO74" s="35"/>
    </row>
    <row r="75" spans="30:41" x14ac:dyDescent="0.25">
      <c r="AD75" s="29"/>
      <c r="AE75" s="30"/>
      <c r="AF75" s="29"/>
      <c r="AG75" s="29"/>
      <c r="AH75" s="29"/>
      <c r="AI75" s="29"/>
      <c r="AJ75" s="35"/>
      <c r="AK75" s="29"/>
      <c r="AL75" s="29"/>
      <c r="AM75" s="29"/>
      <c r="AN75" s="29"/>
      <c r="AO75" s="35"/>
    </row>
    <row r="76" spans="30:41" x14ac:dyDescent="0.25">
      <c r="AD76" s="29"/>
      <c r="AE76" s="30"/>
      <c r="AF76" s="29"/>
      <c r="AG76" s="29"/>
      <c r="AH76" s="29"/>
      <c r="AI76" s="29"/>
      <c r="AJ76" s="35"/>
      <c r="AK76" s="29"/>
      <c r="AL76" s="29"/>
      <c r="AM76" s="29"/>
      <c r="AN76" s="29"/>
      <c r="AO76" s="35"/>
    </row>
    <row r="77" spans="30:41" x14ac:dyDescent="0.25">
      <c r="AD77" s="29"/>
      <c r="AE77" s="30"/>
      <c r="AF77" s="29"/>
      <c r="AG77" s="29"/>
      <c r="AH77" s="29"/>
      <c r="AI77" s="29"/>
      <c r="AJ77" s="35"/>
      <c r="AK77" s="29"/>
      <c r="AL77" s="29"/>
      <c r="AM77" s="29"/>
      <c r="AN77" s="29"/>
      <c r="AO77" s="35"/>
    </row>
    <row r="78" spans="30:41" x14ac:dyDescent="0.25">
      <c r="AD78" s="29"/>
      <c r="AE78" s="30"/>
      <c r="AF78" s="31"/>
      <c r="AG78" s="31"/>
      <c r="AH78" s="29"/>
      <c r="AI78" s="29"/>
      <c r="AJ78" s="35"/>
      <c r="AK78" s="29"/>
      <c r="AL78" s="29"/>
      <c r="AM78" s="29"/>
      <c r="AN78" s="29"/>
      <c r="AO78" s="35"/>
    </row>
    <row r="79" spans="30:41" x14ac:dyDescent="0.25">
      <c r="AD79" s="29"/>
      <c r="AE79" s="30"/>
      <c r="AF79" s="29"/>
      <c r="AG79" s="29"/>
      <c r="AH79" s="29"/>
      <c r="AI79" s="29"/>
      <c r="AJ79" s="35"/>
      <c r="AK79" s="29"/>
      <c r="AL79" s="29"/>
      <c r="AM79" s="29"/>
      <c r="AN79" s="29"/>
      <c r="AO79" s="35"/>
    </row>
    <row r="80" spans="30:41" x14ac:dyDescent="0.25">
      <c r="AD80" s="35"/>
      <c r="AE80" s="36"/>
      <c r="AF80" s="35"/>
      <c r="AG80" s="35"/>
      <c r="AH80" s="35"/>
      <c r="AI80" s="35"/>
      <c r="AJ80" s="35"/>
      <c r="AK80" s="35"/>
      <c r="AL80" s="35"/>
      <c r="AM80" s="35"/>
      <c r="AN80" s="35"/>
      <c r="AO80" s="35"/>
    </row>
    <row r="81" spans="29:41" x14ac:dyDescent="0.25">
      <c r="AD81" s="35"/>
      <c r="AE81" s="36"/>
      <c r="AF81" s="35"/>
      <c r="AG81" s="35"/>
      <c r="AH81" s="35"/>
      <c r="AI81" s="35"/>
      <c r="AJ81" s="35"/>
      <c r="AK81" s="35"/>
      <c r="AL81" s="35"/>
      <c r="AM81" s="35"/>
      <c r="AN81" s="35"/>
      <c r="AO81" s="35"/>
    </row>
    <row r="82" spans="29:41" x14ac:dyDescent="0.25">
      <c r="AC82" s="29"/>
      <c r="AD82" s="29"/>
      <c r="AE82" s="30"/>
      <c r="AF82" s="31"/>
      <c r="AG82" s="31"/>
      <c r="AH82" s="29"/>
      <c r="AI82" s="29"/>
      <c r="AJ82" s="35"/>
      <c r="AK82" s="29"/>
      <c r="AL82" s="29"/>
      <c r="AM82" s="29"/>
      <c r="AN82" s="29"/>
      <c r="AO82" s="29"/>
    </row>
    <row r="83" spans="29:41" x14ac:dyDescent="0.25">
      <c r="AC83" s="29"/>
      <c r="AD83" s="29"/>
      <c r="AE83" s="30"/>
      <c r="AF83" s="29"/>
      <c r="AG83" s="29"/>
      <c r="AH83" s="29"/>
      <c r="AI83" s="29"/>
      <c r="AJ83" s="35"/>
      <c r="AK83" s="29"/>
      <c r="AL83" s="29"/>
      <c r="AM83" s="29"/>
      <c r="AN83" s="29"/>
      <c r="AO83" s="29"/>
    </row>
    <row r="84" spans="29:41" x14ac:dyDescent="0.25">
      <c r="AC84" s="29"/>
      <c r="AD84" s="29"/>
      <c r="AE84" s="30"/>
      <c r="AF84" s="29"/>
      <c r="AG84" s="29"/>
      <c r="AH84" s="29"/>
      <c r="AI84" s="29"/>
      <c r="AJ84" s="35"/>
      <c r="AK84" s="29"/>
      <c r="AL84" s="29"/>
      <c r="AM84" s="29"/>
      <c r="AN84" s="29"/>
      <c r="AO84" s="29"/>
    </row>
    <row r="85" spans="29:41" x14ac:dyDescent="0.25">
      <c r="AC85" s="29"/>
      <c r="AD85" s="29"/>
      <c r="AE85" s="30"/>
      <c r="AF85" s="29"/>
      <c r="AG85" s="29"/>
      <c r="AH85" s="29"/>
      <c r="AI85" s="29"/>
      <c r="AJ85" s="35"/>
      <c r="AK85" s="29"/>
      <c r="AL85" s="29"/>
      <c r="AM85" s="29"/>
      <c r="AN85" s="29"/>
      <c r="AO85" s="29"/>
    </row>
    <row r="86" spans="29:41" x14ac:dyDescent="0.25">
      <c r="AC86" s="29"/>
      <c r="AD86" s="29"/>
      <c r="AE86" s="30"/>
      <c r="AF86" s="29"/>
      <c r="AG86" s="29"/>
      <c r="AH86" s="29"/>
      <c r="AI86" s="29"/>
      <c r="AJ86" s="35"/>
      <c r="AK86" s="29"/>
      <c r="AL86" s="29"/>
      <c r="AM86" s="29"/>
      <c r="AN86" s="29"/>
      <c r="AO86" s="29"/>
    </row>
    <row r="87" spans="29:41" x14ac:dyDescent="0.25">
      <c r="AC87" s="29"/>
      <c r="AD87" s="29"/>
      <c r="AE87" s="30"/>
      <c r="AF87" s="29"/>
      <c r="AG87" s="29"/>
      <c r="AH87" s="29"/>
      <c r="AI87" s="29"/>
      <c r="AJ87" s="35"/>
      <c r="AK87" s="29"/>
      <c r="AL87" s="29"/>
      <c r="AM87" s="29"/>
      <c r="AN87" s="29"/>
      <c r="AO87" s="29"/>
    </row>
    <row r="88" spans="29:41" x14ac:dyDescent="0.25">
      <c r="AC88" s="29"/>
      <c r="AD88" s="29"/>
      <c r="AE88" s="30"/>
      <c r="AF88" s="29"/>
      <c r="AG88" s="29"/>
      <c r="AH88" s="29"/>
      <c r="AI88" s="29"/>
      <c r="AJ88" s="35"/>
      <c r="AK88" s="29"/>
      <c r="AL88" s="29"/>
      <c r="AM88" s="29"/>
      <c r="AN88" s="29"/>
      <c r="AO88" s="29"/>
    </row>
    <row r="89" spans="29:41" x14ac:dyDescent="0.25">
      <c r="AC89" s="29"/>
      <c r="AD89" s="29"/>
      <c r="AE89" s="30"/>
      <c r="AF89" s="29"/>
      <c r="AG89" s="29"/>
      <c r="AH89" s="29"/>
      <c r="AI89" s="29"/>
      <c r="AJ89" s="35"/>
      <c r="AK89" s="29"/>
      <c r="AL89" s="29"/>
      <c r="AM89" s="29"/>
      <c r="AN89" s="29"/>
      <c r="AO89" s="29"/>
    </row>
    <row r="90" spans="29:41" x14ac:dyDescent="0.25">
      <c r="AC90" s="29"/>
      <c r="AD90" s="29"/>
      <c r="AE90" s="30"/>
      <c r="AF90" s="29"/>
      <c r="AG90" s="29"/>
      <c r="AH90" s="29"/>
      <c r="AI90" s="29"/>
      <c r="AJ90" s="35"/>
      <c r="AK90" s="29"/>
      <c r="AL90" s="29"/>
      <c r="AM90" s="29"/>
      <c r="AN90" s="29"/>
      <c r="AO90" s="29"/>
    </row>
    <row r="91" spans="29:41" x14ac:dyDescent="0.25">
      <c r="AC91" s="29"/>
      <c r="AD91" s="29"/>
      <c r="AE91" s="30"/>
      <c r="AF91" s="29"/>
      <c r="AG91" s="29"/>
      <c r="AH91" s="29"/>
      <c r="AI91" s="29"/>
      <c r="AJ91" s="35"/>
      <c r="AK91" s="29"/>
      <c r="AL91" s="29"/>
      <c r="AM91" s="29"/>
      <c r="AN91" s="29"/>
      <c r="AO91" s="29"/>
    </row>
    <row r="92" spans="29:41" x14ac:dyDescent="0.25">
      <c r="AC92" s="29"/>
      <c r="AD92" s="29"/>
      <c r="AE92" s="30"/>
      <c r="AF92" s="29"/>
      <c r="AG92" s="29"/>
      <c r="AH92" s="29"/>
      <c r="AI92" s="29"/>
      <c r="AJ92" s="35"/>
      <c r="AK92" s="29"/>
      <c r="AL92" s="29"/>
      <c r="AM92" s="29"/>
      <c r="AN92" s="29"/>
      <c r="AO92" s="29"/>
    </row>
    <row r="93" spans="29:41" x14ac:dyDescent="0.25">
      <c r="AC93" s="29"/>
      <c r="AD93" s="29"/>
      <c r="AE93" s="30"/>
      <c r="AF93" s="29"/>
      <c r="AG93" s="29"/>
      <c r="AH93" s="29"/>
      <c r="AI93" s="29"/>
      <c r="AJ93" s="35"/>
      <c r="AK93" s="29"/>
      <c r="AL93" s="29"/>
      <c r="AM93" s="29"/>
      <c r="AN93" s="29"/>
      <c r="AO93" s="29"/>
    </row>
    <row r="94" spans="29:41" x14ac:dyDescent="0.25">
      <c r="AC94" s="29"/>
      <c r="AD94" s="29"/>
      <c r="AE94" s="30"/>
      <c r="AF94" s="29"/>
      <c r="AG94" s="29"/>
      <c r="AH94" s="29"/>
      <c r="AI94" s="29"/>
      <c r="AJ94" s="35"/>
      <c r="AK94" s="29"/>
      <c r="AL94" s="29"/>
      <c r="AM94" s="29"/>
      <c r="AN94" s="29"/>
      <c r="AO94" s="29"/>
    </row>
    <row r="95" spans="29:41" x14ac:dyDescent="0.25">
      <c r="AC95" s="29"/>
      <c r="AD95" s="29"/>
      <c r="AE95" s="30"/>
      <c r="AF95" s="29"/>
      <c r="AG95" s="29"/>
      <c r="AH95" s="29"/>
      <c r="AI95" s="29"/>
      <c r="AJ95" s="35"/>
      <c r="AK95" s="29"/>
      <c r="AL95" s="29"/>
      <c r="AM95" s="29"/>
      <c r="AN95" s="29"/>
      <c r="AO95" s="29"/>
    </row>
    <row r="96" spans="29:41" x14ac:dyDescent="0.25">
      <c r="AC96" s="29"/>
      <c r="AD96" s="29"/>
      <c r="AE96" s="30"/>
      <c r="AF96" s="31"/>
      <c r="AG96" s="31"/>
      <c r="AH96" s="29"/>
      <c r="AI96" s="29"/>
      <c r="AJ96" s="35"/>
      <c r="AK96" s="29"/>
      <c r="AL96" s="29"/>
      <c r="AM96" s="29"/>
      <c r="AN96" s="29"/>
      <c r="AO96" s="29"/>
    </row>
    <row r="97" spans="29:41" x14ac:dyDescent="0.25">
      <c r="AC97" s="29"/>
      <c r="AD97" s="29"/>
      <c r="AE97" s="30"/>
      <c r="AF97" s="29"/>
      <c r="AG97" s="29"/>
      <c r="AH97" s="29"/>
      <c r="AI97" s="29"/>
      <c r="AJ97" s="35"/>
      <c r="AK97" s="29"/>
      <c r="AL97" s="29"/>
      <c r="AM97" s="29"/>
      <c r="AN97" s="29"/>
      <c r="AO97" s="29"/>
    </row>
    <row r="98" spans="29:41" x14ac:dyDescent="0.25">
      <c r="AC98" s="29"/>
      <c r="AD98" s="29"/>
      <c r="AE98" s="30"/>
      <c r="AF98" s="29"/>
      <c r="AG98" s="29"/>
      <c r="AH98" s="29"/>
      <c r="AI98" s="29"/>
      <c r="AJ98" s="35"/>
      <c r="AK98" s="29"/>
      <c r="AL98" s="29"/>
      <c r="AM98" s="29"/>
      <c r="AN98" s="29"/>
      <c r="AO98" s="29"/>
    </row>
    <row r="99" spans="29:41" x14ac:dyDescent="0.25">
      <c r="AC99" s="29"/>
      <c r="AD99" s="29"/>
      <c r="AE99" s="30"/>
      <c r="AF99" s="29"/>
      <c r="AG99" s="29"/>
      <c r="AH99" s="29"/>
      <c r="AI99" s="29"/>
      <c r="AJ99" s="35"/>
      <c r="AK99" s="29"/>
      <c r="AL99" s="29"/>
      <c r="AM99" s="29"/>
      <c r="AN99" s="29"/>
      <c r="AO99" s="29"/>
    </row>
    <row r="100" spans="29:41" x14ac:dyDescent="0.25">
      <c r="AC100" s="29"/>
      <c r="AD100" s="29"/>
      <c r="AE100" s="30"/>
      <c r="AF100" s="29"/>
      <c r="AG100" s="29"/>
      <c r="AH100" s="29"/>
      <c r="AI100" s="29"/>
      <c r="AJ100" s="35"/>
      <c r="AK100" s="29"/>
      <c r="AL100" s="29"/>
      <c r="AM100" s="29"/>
      <c r="AN100" s="29"/>
      <c r="AO100" s="29"/>
    </row>
    <row r="101" spans="29:41" x14ac:dyDescent="0.25">
      <c r="AC101" s="29"/>
      <c r="AD101" s="29"/>
      <c r="AE101" s="30"/>
      <c r="AF101" s="29"/>
      <c r="AG101" s="29"/>
      <c r="AH101" s="29"/>
      <c r="AI101" s="29"/>
      <c r="AJ101" s="35"/>
      <c r="AK101" s="29"/>
      <c r="AL101" s="29"/>
      <c r="AM101" s="29"/>
      <c r="AN101" s="29"/>
      <c r="AO101" s="29"/>
    </row>
    <row r="102" spans="29:41" x14ac:dyDescent="0.25">
      <c r="AC102" s="29"/>
      <c r="AD102" s="29"/>
      <c r="AE102" s="30"/>
      <c r="AF102" s="29"/>
      <c r="AG102" s="29"/>
      <c r="AH102" s="29"/>
      <c r="AI102" s="29"/>
      <c r="AJ102" s="35"/>
      <c r="AK102" s="29"/>
      <c r="AL102" s="29"/>
      <c r="AM102" s="29"/>
      <c r="AN102" s="29"/>
      <c r="AO102" s="29"/>
    </row>
    <row r="103" spans="29:41" x14ac:dyDescent="0.25">
      <c r="AC103" s="29"/>
      <c r="AD103" s="29"/>
      <c r="AE103" s="30"/>
      <c r="AF103" s="29"/>
      <c r="AG103" s="29"/>
      <c r="AH103" s="29"/>
      <c r="AI103" s="29"/>
      <c r="AJ103" s="35"/>
      <c r="AK103" s="29"/>
      <c r="AL103" s="29"/>
      <c r="AM103" s="29"/>
      <c r="AN103" s="29"/>
      <c r="AO103" s="29"/>
    </row>
    <row r="104" spans="29:41" x14ac:dyDescent="0.25">
      <c r="AC104" s="29"/>
      <c r="AD104" s="29"/>
      <c r="AE104" s="30"/>
      <c r="AF104" s="29"/>
      <c r="AG104" s="29"/>
      <c r="AH104" s="29"/>
      <c r="AI104" s="29"/>
      <c r="AJ104" s="35"/>
      <c r="AK104" s="29"/>
      <c r="AL104" s="29"/>
      <c r="AM104" s="29"/>
      <c r="AN104" s="29"/>
      <c r="AO104" s="29"/>
    </row>
    <row r="105" spans="29:41" x14ac:dyDescent="0.25">
      <c r="AC105" s="29"/>
      <c r="AD105" s="29"/>
      <c r="AE105" s="30"/>
      <c r="AF105" s="29"/>
      <c r="AG105" s="29"/>
      <c r="AH105" s="29"/>
      <c r="AI105" s="29"/>
      <c r="AJ105" s="35"/>
      <c r="AK105" s="29"/>
      <c r="AL105" s="29"/>
      <c r="AM105" s="29"/>
      <c r="AN105" s="29"/>
      <c r="AO105" s="29"/>
    </row>
    <row r="106" spans="29:41" x14ac:dyDescent="0.25">
      <c r="AC106" s="29"/>
      <c r="AD106" s="29"/>
      <c r="AE106" s="30"/>
      <c r="AF106" s="29"/>
      <c r="AG106" s="29"/>
      <c r="AH106" s="29"/>
      <c r="AI106" s="29"/>
      <c r="AJ106" s="35"/>
      <c r="AK106" s="29"/>
      <c r="AL106" s="29"/>
      <c r="AM106" s="29"/>
      <c r="AN106" s="29"/>
      <c r="AO106" s="29"/>
    </row>
    <row r="107" spans="29:41" x14ac:dyDescent="0.25">
      <c r="AC107" s="29"/>
      <c r="AD107" s="29"/>
      <c r="AE107" s="30"/>
      <c r="AF107" s="29"/>
      <c r="AG107" s="29"/>
      <c r="AH107" s="29"/>
      <c r="AI107" s="29"/>
      <c r="AJ107" s="35"/>
      <c r="AK107" s="29"/>
      <c r="AL107" s="29"/>
      <c r="AM107" s="29"/>
      <c r="AN107" s="29"/>
      <c r="AO107" s="29"/>
    </row>
    <row r="108" spans="29:41" x14ac:dyDescent="0.25">
      <c r="AC108" s="29"/>
      <c r="AD108" s="29"/>
      <c r="AE108" s="30"/>
      <c r="AF108" s="29"/>
      <c r="AG108" s="29"/>
      <c r="AH108" s="29"/>
      <c r="AI108" s="29"/>
      <c r="AJ108" s="35"/>
      <c r="AK108" s="29"/>
      <c r="AL108" s="29"/>
      <c r="AM108" s="29"/>
      <c r="AN108" s="29"/>
      <c r="AO108" s="29"/>
    </row>
    <row r="109" spans="29:41" x14ac:dyDescent="0.25">
      <c r="AC109" s="29"/>
      <c r="AD109" s="29"/>
      <c r="AE109" s="30"/>
      <c r="AF109" s="29"/>
      <c r="AG109" s="29"/>
      <c r="AH109" s="29"/>
      <c r="AI109" s="29"/>
      <c r="AJ109" s="35"/>
      <c r="AK109" s="29"/>
      <c r="AL109" s="29"/>
      <c r="AM109" s="29"/>
      <c r="AN109" s="29"/>
      <c r="AO109" s="29"/>
    </row>
    <row r="110" spans="29:41" x14ac:dyDescent="0.25">
      <c r="AC110" s="29"/>
      <c r="AD110" s="29"/>
      <c r="AE110" s="30"/>
      <c r="AF110" s="29"/>
      <c r="AG110" s="29"/>
      <c r="AH110" s="29"/>
      <c r="AI110" s="29"/>
      <c r="AJ110" s="35"/>
      <c r="AK110" s="29"/>
      <c r="AL110" s="29"/>
      <c r="AM110" s="29"/>
      <c r="AN110" s="29"/>
      <c r="AO110" s="29"/>
    </row>
    <row r="111" spans="29:41" x14ac:dyDescent="0.25">
      <c r="AC111" s="29"/>
      <c r="AD111" s="29"/>
      <c r="AE111" s="30"/>
      <c r="AF111" s="29"/>
      <c r="AG111" s="29"/>
      <c r="AH111" s="29"/>
      <c r="AI111" s="29"/>
      <c r="AJ111" s="35"/>
      <c r="AK111" s="29"/>
      <c r="AL111" s="29"/>
      <c r="AM111" s="29"/>
      <c r="AN111" s="29"/>
      <c r="AO111" s="29"/>
    </row>
    <row r="112" spans="29:41" x14ac:dyDescent="0.25">
      <c r="AC112" s="29"/>
      <c r="AD112" s="29"/>
      <c r="AE112" s="30"/>
      <c r="AF112" s="29"/>
      <c r="AG112" s="29"/>
      <c r="AH112" s="29"/>
      <c r="AI112" s="29"/>
      <c r="AJ112" s="35"/>
      <c r="AK112" s="29"/>
      <c r="AL112" s="29"/>
      <c r="AM112" s="29"/>
      <c r="AN112" s="29"/>
      <c r="AO112" s="29"/>
    </row>
    <row r="113" spans="29:41" x14ac:dyDescent="0.25">
      <c r="AC113" s="29"/>
      <c r="AD113" s="29"/>
      <c r="AE113" s="30"/>
      <c r="AF113" s="31"/>
      <c r="AG113" s="31"/>
      <c r="AH113" s="29"/>
      <c r="AI113" s="29"/>
      <c r="AJ113" s="35"/>
      <c r="AK113" s="29"/>
      <c r="AL113" s="29"/>
      <c r="AM113" s="29"/>
      <c r="AN113" s="29"/>
      <c r="AO113" s="29"/>
    </row>
    <row r="114" spans="29:41" x14ac:dyDescent="0.25">
      <c r="AC114" s="29"/>
      <c r="AD114" s="29"/>
      <c r="AE114" s="30"/>
      <c r="AF114" s="29"/>
      <c r="AG114" s="29"/>
      <c r="AH114" s="29"/>
      <c r="AI114" s="29"/>
      <c r="AJ114" s="35"/>
      <c r="AK114" s="29"/>
      <c r="AL114" s="29"/>
      <c r="AM114" s="29"/>
      <c r="AN114" s="29"/>
      <c r="AO114" s="29"/>
    </row>
    <row r="115" spans="29:41" x14ac:dyDescent="0.25">
      <c r="AD115" s="29"/>
      <c r="AE115" s="36"/>
      <c r="AF115" s="35"/>
      <c r="AG115" s="35"/>
      <c r="AH115" s="35"/>
      <c r="AI115" s="35"/>
      <c r="AJ115" s="35"/>
      <c r="AK115" s="29"/>
      <c r="AL115" s="29"/>
      <c r="AM115" s="29"/>
      <c r="AN115" s="29"/>
      <c r="AO115" s="29"/>
    </row>
    <row r="116" spans="29:41" x14ac:dyDescent="0.25">
      <c r="AD116" s="29"/>
      <c r="AE116" s="36"/>
      <c r="AF116" s="35"/>
      <c r="AG116" s="35"/>
      <c r="AH116" s="35"/>
      <c r="AI116" s="35"/>
      <c r="AJ116" s="35"/>
      <c r="AK116" s="35"/>
      <c r="AL116" s="29"/>
      <c r="AM116" s="35"/>
      <c r="AN116" s="35"/>
      <c r="AO116" s="35"/>
    </row>
    <row r="117" spans="29:41" x14ac:dyDescent="0.25">
      <c r="AD117" s="29"/>
      <c r="AE117" s="36"/>
      <c r="AF117" s="35"/>
      <c r="AG117" s="35"/>
      <c r="AH117" s="35"/>
      <c r="AI117" s="35"/>
      <c r="AJ117" s="35"/>
      <c r="AK117" s="35"/>
      <c r="AL117" s="29"/>
      <c r="AM117" s="35"/>
      <c r="AN117" s="35"/>
      <c r="AO117" s="35"/>
    </row>
    <row r="118" spans="29:41" x14ac:dyDescent="0.25">
      <c r="AD118" s="29"/>
      <c r="AE118" s="36"/>
      <c r="AF118" s="35"/>
      <c r="AG118" s="35"/>
      <c r="AH118" s="35"/>
      <c r="AI118" s="35"/>
      <c r="AJ118" s="35"/>
      <c r="AK118" s="35"/>
      <c r="AL118" s="29"/>
      <c r="AM118" s="35"/>
      <c r="AN118" s="35"/>
      <c r="AO118" s="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9C659-36FC-4DCF-8F21-A26EB274596B}">
  <dimension ref="A1:BF1286"/>
  <sheetViews>
    <sheetView topLeftCell="S1" zoomScale="72" zoomScaleNormal="10" workbookViewId="0">
      <selection activeCell="S1" sqref="S1:X1"/>
    </sheetView>
  </sheetViews>
  <sheetFormatPr defaultRowHeight="15" x14ac:dyDescent="0.25"/>
  <cols>
    <col min="1" max="1" width="19.140625" bestFit="1" customWidth="1"/>
    <col min="2" max="2" width="19.42578125" bestFit="1" customWidth="1"/>
    <col min="3" max="3" width="17.5703125" bestFit="1" customWidth="1"/>
    <col min="4" max="4" width="14.85546875" bestFit="1" customWidth="1"/>
    <col min="5" max="5" width="15.85546875" bestFit="1" customWidth="1"/>
    <col min="6" max="6" width="37.28515625" bestFit="1" customWidth="1"/>
    <col min="7" max="7" width="15.7109375" bestFit="1" customWidth="1"/>
    <col min="8" max="8" width="17.42578125" bestFit="1" customWidth="1"/>
    <col min="9" max="9" width="13" bestFit="1" customWidth="1"/>
    <col min="10" max="10" width="21.7109375" customWidth="1"/>
    <col min="11" max="11" width="17.42578125" bestFit="1" customWidth="1"/>
    <col min="12" max="12" width="16" bestFit="1" customWidth="1"/>
    <col min="13" max="13" width="8.7109375" bestFit="1" customWidth="1"/>
    <col min="14" max="14" width="17.85546875" bestFit="1" customWidth="1"/>
    <col min="15" max="15" width="18.140625" bestFit="1" customWidth="1"/>
    <col min="16" max="16" width="20.7109375" bestFit="1" customWidth="1"/>
    <col min="17" max="17" width="16.5703125" bestFit="1" customWidth="1"/>
    <col min="18" max="18" width="10.85546875" bestFit="1" customWidth="1"/>
    <col min="19" max="19" width="17" bestFit="1" customWidth="1"/>
    <col min="20" max="20" width="15" bestFit="1" customWidth="1"/>
    <col min="21" max="21" width="16.28515625" bestFit="1" customWidth="1"/>
    <col min="22" max="22" width="17.5703125" bestFit="1" customWidth="1"/>
    <col min="23" max="23" width="12.42578125" bestFit="1" customWidth="1"/>
    <col min="24" max="24" width="16.42578125" bestFit="1" customWidth="1"/>
    <col min="25" max="25" width="18.5703125" bestFit="1" customWidth="1"/>
    <col min="26" max="26" width="13.42578125" bestFit="1" customWidth="1"/>
    <col min="27" max="27" width="18.140625" bestFit="1" customWidth="1"/>
    <col min="28" max="28" width="21.42578125" bestFit="1" customWidth="1"/>
    <col min="29" max="29" width="14.28515625" bestFit="1" customWidth="1"/>
    <col min="30" max="30" width="17.5703125" style="21" bestFit="1" customWidth="1"/>
    <col min="31" max="31" width="12.42578125" bestFit="1" customWidth="1"/>
    <col min="32" max="32" width="13.28515625" bestFit="1" customWidth="1"/>
    <col min="33" max="33" width="12.7109375" bestFit="1" customWidth="1"/>
    <col min="34" max="34" width="14" bestFit="1" customWidth="1"/>
    <col min="35" max="35" width="24.7109375" bestFit="1" customWidth="1"/>
    <col min="36" max="36" width="16.85546875" bestFit="1" customWidth="1"/>
    <col min="37" max="37" width="17.85546875" bestFit="1" customWidth="1"/>
    <col min="38" max="38" width="13.42578125" bestFit="1" customWidth="1"/>
    <col min="39" max="39" width="28.140625" bestFit="1" customWidth="1"/>
    <col min="40" max="40" width="17.140625" bestFit="1" customWidth="1"/>
    <col min="41" max="41" width="14.85546875" bestFit="1" customWidth="1"/>
    <col min="42" max="42" width="21.42578125" bestFit="1" customWidth="1"/>
    <col min="43" max="44" width="16.42578125" bestFit="1" customWidth="1"/>
    <col min="45" max="45" width="17.42578125" bestFit="1" customWidth="1"/>
    <col min="46" max="46" width="16.5703125" bestFit="1" customWidth="1"/>
    <col min="47" max="47" width="14" bestFit="1" customWidth="1"/>
    <col min="48" max="48" width="12.85546875" bestFit="1" customWidth="1"/>
    <col min="49" max="49" width="16.28515625" bestFit="1" customWidth="1"/>
    <col min="50" max="50" width="14.42578125" bestFit="1" customWidth="1"/>
    <col min="51" max="51" width="20" style="22" bestFit="1" customWidth="1"/>
    <col min="52" max="52" width="27.140625" bestFit="1" customWidth="1"/>
    <col min="53" max="53" width="20.42578125" bestFit="1" customWidth="1"/>
    <col min="54" max="54" width="25" bestFit="1" customWidth="1"/>
    <col min="55" max="55" width="19.140625" bestFit="1" customWidth="1"/>
    <col min="56" max="56" width="20.5703125" bestFit="1" customWidth="1"/>
    <col min="57" max="57" width="16.7109375" bestFit="1" customWidth="1"/>
    <col min="58" max="58" width="20.7109375" bestFit="1" customWidth="1"/>
  </cols>
  <sheetData>
    <row r="1" spans="1:58" s="39" customFormat="1" x14ac:dyDescent="0.25">
      <c r="A1" s="38" t="s">
        <v>599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 t="s">
        <v>671</v>
      </c>
      <c r="T1" s="38"/>
      <c r="U1" s="38"/>
      <c r="V1" s="38"/>
      <c r="W1" s="38"/>
      <c r="X1" s="38"/>
      <c r="Y1" s="38" t="s">
        <v>642</v>
      </c>
      <c r="Z1" s="38"/>
      <c r="AA1" s="38"/>
      <c r="AB1" s="38"/>
      <c r="AC1" s="38"/>
      <c r="AD1" s="38" t="s">
        <v>672</v>
      </c>
      <c r="AE1" s="38"/>
      <c r="AF1" s="38"/>
      <c r="AG1" s="38"/>
      <c r="AH1" s="38"/>
      <c r="AI1" s="38"/>
      <c r="AJ1" s="38" t="s">
        <v>673</v>
      </c>
      <c r="AK1" s="38"/>
      <c r="AL1" s="38"/>
      <c r="AM1" s="38"/>
      <c r="AN1" s="38"/>
      <c r="AO1" s="38"/>
      <c r="AP1" s="38" t="s">
        <v>604</v>
      </c>
      <c r="AQ1" s="38"/>
      <c r="AR1" s="38"/>
      <c r="AS1" s="38"/>
      <c r="AT1" s="38"/>
      <c r="AU1" s="38"/>
      <c r="AV1" s="38"/>
      <c r="AW1" s="38"/>
      <c r="AX1" s="38"/>
      <c r="AY1" s="38" t="s">
        <v>605</v>
      </c>
      <c r="AZ1" s="37"/>
      <c r="BA1" s="37"/>
      <c r="BB1" s="37"/>
      <c r="BC1" s="38" t="s">
        <v>607</v>
      </c>
      <c r="BD1" s="38"/>
      <c r="BE1" s="38"/>
      <c r="BF1" s="38"/>
    </row>
    <row r="2" spans="1:58" x14ac:dyDescent="0.25">
      <c r="A2" s="10" t="s">
        <v>603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655</v>
      </c>
      <c r="K2" s="10" t="s">
        <v>644</v>
      </c>
      <c r="L2" s="10" t="s">
        <v>9</v>
      </c>
      <c r="M2" s="10" t="s">
        <v>10</v>
      </c>
      <c r="N2" s="10" t="s">
        <v>11</v>
      </c>
      <c r="O2" s="10" t="s">
        <v>12</v>
      </c>
      <c r="P2" s="10" t="s">
        <v>13</v>
      </c>
      <c r="Q2" s="10" t="s">
        <v>14</v>
      </c>
      <c r="R2" s="10" t="s">
        <v>15</v>
      </c>
      <c r="S2" s="11" t="s">
        <v>653</v>
      </c>
      <c r="T2" s="11" t="s">
        <v>17</v>
      </c>
      <c r="U2" s="11" t="s">
        <v>18</v>
      </c>
      <c r="V2" s="11" t="s">
        <v>19</v>
      </c>
      <c r="W2" s="11" t="s">
        <v>20</v>
      </c>
      <c r="X2" s="11" t="s">
        <v>21</v>
      </c>
      <c r="Y2" s="12" t="s">
        <v>646</v>
      </c>
      <c r="Z2" s="12" t="s">
        <v>23</v>
      </c>
      <c r="AA2" s="12" t="s">
        <v>24</v>
      </c>
      <c r="AB2" s="12" t="s">
        <v>25</v>
      </c>
      <c r="AC2" s="12" t="s">
        <v>26</v>
      </c>
      <c r="AD2" s="13" t="s">
        <v>648</v>
      </c>
      <c r="AE2" s="14" t="s">
        <v>28</v>
      </c>
      <c r="AF2" s="13" t="s">
        <v>29</v>
      </c>
      <c r="AG2" s="13" t="s">
        <v>30</v>
      </c>
      <c r="AH2" s="13" t="s">
        <v>31</v>
      </c>
      <c r="AI2" s="13" t="s">
        <v>579</v>
      </c>
      <c r="AJ2" s="15" t="s">
        <v>647</v>
      </c>
      <c r="AK2" s="15" t="s">
        <v>33</v>
      </c>
      <c r="AL2" s="15" t="s">
        <v>34</v>
      </c>
      <c r="AM2" s="15" t="s">
        <v>35</v>
      </c>
      <c r="AN2" s="15" t="s">
        <v>36</v>
      </c>
      <c r="AO2" s="15" t="s">
        <v>37</v>
      </c>
      <c r="AP2" s="16" t="s">
        <v>654</v>
      </c>
      <c r="AQ2" s="16" t="s">
        <v>39</v>
      </c>
      <c r="AR2" s="16" t="s">
        <v>40</v>
      </c>
      <c r="AS2" s="16" t="s">
        <v>41</v>
      </c>
      <c r="AT2" s="16" t="s">
        <v>42</v>
      </c>
      <c r="AU2" s="16" t="s">
        <v>43</v>
      </c>
      <c r="AV2" s="16" t="s">
        <v>44</v>
      </c>
      <c r="AW2" s="16" t="s">
        <v>45</v>
      </c>
      <c r="AX2" s="16" t="s">
        <v>46</v>
      </c>
      <c r="AY2" s="17" t="s">
        <v>650</v>
      </c>
      <c r="AZ2" s="17" t="s">
        <v>48</v>
      </c>
      <c r="BA2" s="17" t="s">
        <v>582</v>
      </c>
      <c r="BB2" s="17" t="s">
        <v>583</v>
      </c>
      <c r="BC2" s="18" t="s">
        <v>649</v>
      </c>
      <c r="BD2" s="18" t="s">
        <v>50</v>
      </c>
      <c r="BE2" s="18" t="s">
        <v>598</v>
      </c>
      <c r="BF2" s="18" t="s">
        <v>578</v>
      </c>
    </row>
    <row r="3" spans="1:58" x14ac:dyDescent="0.25">
      <c r="A3" s="10" t="s">
        <v>52</v>
      </c>
      <c r="B3" s="10" t="s">
        <v>53</v>
      </c>
      <c r="C3" s="10" t="s">
        <v>54</v>
      </c>
      <c r="D3" s="10" t="s">
        <v>55</v>
      </c>
      <c r="E3" s="10" t="s">
        <v>56</v>
      </c>
      <c r="F3" s="10" t="s">
        <v>57</v>
      </c>
      <c r="G3" s="10" t="s">
        <v>58</v>
      </c>
      <c r="H3" s="10" t="s">
        <v>59</v>
      </c>
      <c r="I3" s="10" t="s">
        <v>60</v>
      </c>
      <c r="J3" s="10" t="s">
        <v>61</v>
      </c>
      <c r="K3" s="10" t="s">
        <v>62</v>
      </c>
      <c r="L3" s="10" t="s">
        <v>63</v>
      </c>
      <c r="M3" s="10" t="s">
        <v>64</v>
      </c>
      <c r="N3" s="10">
        <v>8000000</v>
      </c>
      <c r="O3" s="10">
        <v>15000000</v>
      </c>
      <c r="P3" s="10" t="s">
        <v>65</v>
      </c>
      <c r="Q3" s="10" t="s">
        <v>66</v>
      </c>
      <c r="R3" s="10" t="s">
        <v>67</v>
      </c>
      <c r="S3" s="11" t="s">
        <v>68</v>
      </c>
      <c r="T3" s="11" t="s">
        <v>69</v>
      </c>
      <c r="U3" s="11" t="s">
        <v>59</v>
      </c>
      <c r="V3" s="11" t="s">
        <v>70</v>
      </c>
      <c r="W3" s="11">
        <v>10000000</v>
      </c>
      <c r="X3" s="11" t="s">
        <v>60</v>
      </c>
      <c r="Y3" s="12" t="s">
        <v>71</v>
      </c>
      <c r="Z3" s="12" t="s">
        <v>72</v>
      </c>
      <c r="AA3" s="12" t="s">
        <v>73</v>
      </c>
      <c r="AB3" s="12" t="s">
        <v>54</v>
      </c>
      <c r="AC3" s="12" t="s">
        <v>74</v>
      </c>
      <c r="AD3" s="13" t="s">
        <v>75</v>
      </c>
      <c r="AE3" s="14">
        <v>45754</v>
      </c>
      <c r="AF3" s="19">
        <v>0.33333333333333331</v>
      </c>
      <c r="AG3" s="19">
        <v>0.70833333333333337</v>
      </c>
      <c r="AH3" s="13" t="s">
        <v>79</v>
      </c>
      <c r="AI3" s="13" t="s">
        <v>80</v>
      </c>
      <c r="AJ3" s="15" t="str">
        <f t="shared" ref="AJ3:AJ39" si="0">_xlfn.IFS(
A3="K001","LBR001",
A3="K003","LBR002",
A3="K004","LBR003",
A3="K006","LBR004",
A3="K008","LBR005",
A3="K009","LBR006",
A3="K012","LBR007",
A3="K018","LBR008",
A3="K019","LBR009",
A3="K020","LBR010",
A3="K023","LBR011",
A3="K025","LBR012",
A3="K002","LBR013",
A3="K007","LBR014",
A3="K010","LBR015",
TRUE,"-"
)</f>
        <v>LBR001</v>
      </c>
      <c r="AK3" s="20">
        <f t="shared" ref="AK3:AK39" si="1">_xlfn.IFS(
A3="K001",DATE(2025,4,8),
A3="K003",DATE(2025,4,9),
A3="K004",DATE(2025,4,10),
A3="K006",DATE(2025,4,11),
A3="K008",DATE(2025,4,12),
A3="K009",DATE(2025,4,13),
A3="K012",DATE(2025,4,14),
A3="K018",DATE(2025,4,15),
A3="K019",DATE(2025,4,16),
A3="K020",DATE(2025,4,17),
A3="K023",DATE(2025,4,18),
A3="K025",DATE(2025,4,19),
A3="K002",DATE(2025,4,20),
A3="K007",DATE(2025,4,22),
A3="K010",DATE(2025,4,23),
TRUE,"-"
)</f>
        <v>45755</v>
      </c>
      <c r="AL3" s="15">
        <f t="shared" ref="AL3:AL39" si="2">_xlfn.IFS(
A3="K001",3,
A3="K003",2,
A3="K004",4,
A3="K006",2,
A3="K008",3,
A3="K009",5,
A3="K012",2,
A3="K018",3,
A3="K019",4,
A3="K020",2,
A3="K023",3,
A3="K025",2,
A3="K002",2,
A3="K007",3,
A3="K010",2,
TRUE,"-"
)</f>
        <v>3</v>
      </c>
      <c r="AM3" s="15" t="str">
        <f t="shared" ref="AM3:AM39" si="3">_xlfn.IFS(
A3="K001","Penyelesaian laporan bulanan",
A3="K003","Deploy sistem baru",
A3="K004","Event pemasaran",
A3="K006","Rekrutmen karyawan",
A3="K008","Audit keuangan",
A3="K009","Maintenance server",
A3="K012","Koordinasi SDM",
A3="K018","Rekonsiliasi data",
A3="K019","Pengembangan sistem",
A3="K020","Pameran produk",
A3="K023","Review laporan keuangan",
A3="K025","Koordinasi operasional",
A3="K002","Persiapan penggajian",
A3="K007","Testing aplikasi",
A3="K010","Analisis pasar",
TRUE,"-"
)</f>
        <v>Penyelesaian laporan bulanan</v>
      </c>
      <c r="AN3" s="15" t="str">
        <f t="shared" ref="AN3:AN39" si="4">_xlfn.IFS(
A3="K001","Approved",
A3="K003","Approved",
A3="K004","Approved",
A3="K006","Approved",
A3="K008","Approved",
A3="K009","Approved",
A3="K012","Approved",
A3="K018","Approved",
A3="K019","Approved",
A3="K020","Approved",
A3="K023","Approved",
A3="K025","Approved",
A3="K002","Pending",
A3="K007","Pending",
A3="K010","Pending",
TRUE,"-"
)</f>
        <v>Approved</v>
      </c>
      <c r="AO3" s="15">
        <f t="shared" ref="AO3:AO39" si="5">_xlfn.IFS(
A3="K001",25000,
A3="K003",27500,
A3="K004",22000,
A3="K006",22000,
A3="K008",23000,
A3="K009",27500,
A3="K012",30000,
A3="K018",22000,
A3="K019",27500,
A3="K020",23000,
A3="K023",28000,
A3="K025",29000,
A3="K002",22500,
A3="K007",20000,
A3="K010",21000,
TRUE,"-"
)</f>
        <v>25000</v>
      </c>
      <c r="AP3" s="16" t="s">
        <v>81</v>
      </c>
      <c r="AQ3" s="16" t="s">
        <v>82</v>
      </c>
      <c r="AR3" s="16" t="s">
        <v>83</v>
      </c>
      <c r="AS3" s="16">
        <v>2500000</v>
      </c>
      <c r="AT3" s="16">
        <v>1250000</v>
      </c>
      <c r="AU3" s="16">
        <v>75000</v>
      </c>
      <c r="AV3" s="16">
        <v>11325000</v>
      </c>
      <c r="AW3" s="16" t="s">
        <v>84</v>
      </c>
      <c r="AX3" s="16" t="s">
        <v>85</v>
      </c>
      <c r="AY3" s="17" t="s">
        <v>86</v>
      </c>
      <c r="AZ3" s="17" t="s">
        <v>87</v>
      </c>
      <c r="BA3" s="17">
        <v>1500000</v>
      </c>
      <c r="BB3" s="17" t="str">
        <f>_xlfn.IFS(
AZ3="Tunjangan Jabatan","Sesuai jabatan",
AZ3="Tunjangan Makan","Biaya makan",
AZ3="Tunjangan Transportasi","Biaya transport",
AZ3="Tunjangan Kesehatan","Biaya kesehatan"
)</f>
        <v>Sesuai jabatan</v>
      </c>
      <c r="BC3" s="18" t="s">
        <v>88</v>
      </c>
      <c r="BD3" s="18" t="s">
        <v>89</v>
      </c>
      <c r="BE3" s="18">
        <v>250000</v>
      </c>
      <c r="BF3" s="18" t="s">
        <v>90</v>
      </c>
    </row>
    <row r="4" spans="1:58" x14ac:dyDescent="0.25">
      <c r="A4" s="10" t="s">
        <v>52</v>
      </c>
      <c r="B4" s="10" t="s">
        <v>53</v>
      </c>
      <c r="C4" s="10" t="s">
        <v>54</v>
      </c>
      <c r="D4" s="10" t="s">
        <v>55</v>
      </c>
      <c r="E4" s="10" t="s">
        <v>56</v>
      </c>
      <c r="F4" s="10" t="s">
        <v>57</v>
      </c>
      <c r="G4" s="10" t="s">
        <v>58</v>
      </c>
      <c r="H4" s="10" t="s">
        <v>59</v>
      </c>
      <c r="I4" s="10" t="s">
        <v>60</v>
      </c>
      <c r="J4" s="10" t="s">
        <v>61</v>
      </c>
      <c r="K4" s="10" t="s">
        <v>62</v>
      </c>
      <c r="L4" s="10" t="s">
        <v>63</v>
      </c>
      <c r="M4" s="10" t="s">
        <v>64</v>
      </c>
      <c r="N4" s="10">
        <v>8000000</v>
      </c>
      <c r="O4" s="10">
        <v>15000000</v>
      </c>
      <c r="P4" s="10" t="s">
        <v>65</v>
      </c>
      <c r="Q4" s="10" t="s">
        <v>66</v>
      </c>
      <c r="R4" s="10" t="s">
        <v>67</v>
      </c>
      <c r="S4" s="11" t="s">
        <v>68</v>
      </c>
      <c r="T4" s="11" t="s">
        <v>69</v>
      </c>
      <c r="U4" s="11" t="s">
        <v>59</v>
      </c>
      <c r="V4" s="11" t="s">
        <v>70</v>
      </c>
      <c r="W4" s="11">
        <v>10000000</v>
      </c>
      <c r="X4" s="11" t="s">
        <v>60</v>
      </c>
      <c r="Y4" s="12" t="s">
        <v>71</v>
      </c>
      <c r="Z4" s="12" t="s">
        <v>72</v>
      </c>
      <c r="AA4" s="12" t="s">
        <v>73</v>
      </c>
      <c r="AB4" s="12" t="s">
        <v>54</v>
      </c>
      <c r="AC4" s="12" t="s">
        <v>74</v>
      </c>
      <c r="AD4" s="13" t="s">
        <v>658</v>
      </c>
      <c r="AE4" s="14">
        <v>45758</v>
      </c>
      <c r="AF4" s="13" t="s">
        <v>80</v>
      </c>
      <c r="AG4" s="13" t="s">
        <v>80</v>
      </c>
      <c r="AH4" s="13" t="s">
        <v>220</v>
      </c>
      <c r="AI4" s="13" t="s">
        <v>221</v>
      </c>
      <c r="AJ4" s="15" t="s">
        <v>80</v>
      </c>
      <c r="AK4" s="20" t="s">
        <v>80</v>
      </c>
      <c r="AL4" s="15" t="s">
        <v>80</v>
      </c>
      <c r="AM4" s="15" t="s">
        <v>80</v>
      </c>
      <c r="AN4" s="15" t="s">
        <v>80</v>
      </c>
      <c r="AO4" s="15" t="s">
        <v>80</v>
      </c>
      <c r="AP4" s="16" t="s">
        <v>81</v>
      </c>
      <c r="AQ4" s="16" t="s">
        <v>82</v>
      </c>
      <c r="AR4" s="16" t="s">
        <v>83</v>
      </c>
      <c r="AS4" s="16">
        <v>2500000</v>
      </c>
      <c r="AT4" s="16">
        <v>1250000</v>
      </c>
      <c r="AU4" s="16">
        <v>75000</v>
      </c>
      <c r="AV4" s="16">
        <f>11325000</f>
        <v>11325000</v>
      </c>
      <c r="AW4" s="16" t="s">
        <v>84</v>
      </c>
      <c r="AX4" s="16" t="s">
        <v>85</v>
      </c>
      <c r="AY4" s="17" t="s">
        <v>86</v>
      </c>
      <c r="AZ4" s="17" t="s">
        <v>87</v>
      </c>
      <c r="BA4" s="17">
        <v>1500000</v>
      </c>
      <c r="BB4" s="17" t="str">
        <f>_xlfn.IFS(
AZ4="Tunjangan Jabatan","Sesuai jabatan",
AZ4="Tunjangan Makan","Biaya makan",
AZ4="Tunjangan Transportasi","Biaya transport",
AZ4="Tunjangan Kesehatan","Biaya kesehatan"
)</f>
        <v>Sesuai jabatan</v>
      </c>
      <c r="BC4" s="18" t="s">
        <v>88</v>
      </c>
      <c r="BD4" s="18" t="s">
        <v>89</v>
      </c>
      <c r="BE4" s="18">
        <v>250000</v>
      </c>
      <c r="BF4" s="18" t="s">
        <v>90</v>
      </c>
    </row>
    <row r="5" spans="1:58" x14ac:dyDescent="0.25">
      <c r="A5" s="10" t="s">
        <v>91</v>
      </c>
      <c r="B5" s="10" t="s">
        <v>92</v>
      </c>
      <c r="C5" s="10" t="s">
        <v>93</v>
      </c>
      <c r="D5" s="10" t="s">
        <v>94</v>
      </c>
      <c r="E5" s="10" t="s">
        <v>95</v>
      </c>
      <c r="F5" s="10" t="s">
        <v>96</v>
      </c>
      <c r="G5" s="10" t="s">
        <v>97</v>
      </c>
      <c r="H5" s="10" t="s">
        <v>98</v>
      </c>
      <c r="I5" s="10" t="s">
        <v>60</v>
      </c>
      <c r="J5" s="10" t="s">
        <v>99</v>
      </c>
      <c r="K5" s="10" t="s">
        <v>100</v>
      </c>
      <c r="L5" s="10" t="s">
        <v>101</v>
      </c>
      <c r="M5" s="10" t="s">
        <v>102</v>
      </c>
      <c r="N5" s="10">
        <v>3500000</v>
      </c>
      <c r="O5" s="10">
        <v>5500000</v>
      </c>
      <c r="P5" s="10" t="s">
        <v>103</v>
      </c>
      <c r="Q5" s="10" t="s">
        <v>104</v>
      </c>
      <c r="R5" s="10" t="s">
        <v>105</v>
      </c>
      <c r="S5" s="11" t="s">
        <v>106</v>
      </c>
      <c r="T5" s="11" t="s">
        <v>69</v>
      </c>
      <c r="U5" s="11" t="s">
        <v>98</v>
      </c>
      <c r="V5" s="11" t="s">
        <v>107</v>
      </c>
      <c r="W5" s="11">
        <v>4500000</v>
      </c>
      <c r="X5" s="11" t="s">
        <v>60</v>
      </c>
      <c r="Y5" s="12" t="s">
        <v>108</v>
      </c>
      <c r="Z5" s="12" t="s">
        <v>109</v>
      </c>
      <c r="AA5" s="12" t="s">
        <v>110</v>
      </c>
      <c r="AB5" s="12" t="s">
        <v>93</v>
      </c>
      <c r="AC5" s="12" t="s">
        <v>74</v>
      </c>
      <c r="AD5" s="13" t="s">
        <v>111</v>
      </c>
      <c r="AE5" s="14" t="s">
        <v>76</v>
      </c>
      <c r="AF5" s="13" t="s">
        <v>77</v>
      </c>
      <c r="AG5" s="13" t="s">
        <v>78</v>
      </c>
      <c r="AH5" s="13" t="s">
        <v>79</v>
      </c>
      <c r="AI5" s="13" t="s">
        <v>80</v>
      </c>
      <c r="AJ5" s="15" t="str">
        <f t="shared" si="0"/>
        <v>LBR013</v>
      </c>
      <c r="AK5" s="20">
        <f t="shared" si="1"/>
        <v>45767</v>
      </c>
      <c r="AL5" s="15">
        <f t="shared" si="2"/>
        <v>2</v>
      </c>
      <c r="AM5" s="15" t="str">
        <f t="shared" si="3"/>
        <v>Persiapan penggajian</v>
      </c>
      <c r="AN5" s="15" t="str">
        <f t="shared" si="4"/>
        <v>Pending</v>
      </c>
      <c r="AO5" s="15">
        <f t="shared" si="5"/>
        <v>22500</v>
      </c>
      <c r="AP5" s="16" t="s">
        <v>112</v>
      </c>
      <c r="AQ5" s="16" t="s">
        <v>82</v>
      </c>
      <c r="AR5" s="16">
        <v>2025</v>
      </c>
      <c r="AS5" s="16">
        <v>1200000</v>
      </c>
      <c r="AT5" s="16">
        <v>600000</v>
      </c>
      <c r="AU5" s="16">
        <v>0</v>
      </c>
      <c r="AV5" s="16">
        <v>5100000</v>
      </c>
      <c r="AW5" s="16" t="s">
        <v>84</v>
      </c>
      <c r="AX5" s="16" t="s">
        <v>85</v>
      </c>
      <c r="AY5" s="17" t="s">
        <v>113</v>
      </c>
      <c r="AZ5" s="17" t="s">
        <v>114</v>
      </c>
      <c r="BA5" s="17">
        <v>600000</v>
      </c>
      <c r="BB5" s="17" t="str">
        <f t="shared" ref="BB5:BB39" si="6">_xlfn.IFS(
AZ5="Tunjangan Jabatan","Sesuai jabatan",
AZ5="Tunjangan Makan","Biaya makan",
AZ5="Tunjangan Transportasi","Biaya transport",
AZ5="Tunjangan Kesehatan","Biaya kesehatan"
)</f>
        <v>Biaya makan</v>
      </c>
      <c r="BC5" s="18" t="s">
        <v>115</v>
      </c>
      <c r="BD5" s="18" t="s">
        <v>116</v>
      </c>
      <c r="BE5" s="18">
        <v>200000</v>
      </c>
      <c r="BF5" s="18" t="s">
        <v>117</v>
      </c>
    </row>
    <row r="6" spans="1:58" x14ac:dyDescent="0.25">
      <c r="A6" s="10" t="s">
        <v>91</v>
      </c>
      <c r="B6" s="10" t="s">
        <v>92</v>
      </c>
      <c r="C6" s="10" t="s">
        <v>93</v>
      </c>
      <c r="D6" s="10" t="s">
        <v>94</v>
      </c>
      <c r="E6" s="10" t="s">
        <v>95</v>
      </c>
      <c r="F6" s="10" t="s">
        <v>96</v>
      </c>
      <c r="G6" s="10" t="s">
        <v>97</v>
      </c>
      <c r="H6" s="10" t="s">
        <v>98</v>
      </c>
      <c r="I6" s="10" t="s">
        <v>60</v>
      </c>
      <c r="J6" s="10" t="s">
        <v>99</v>
      </c>
      <c r="K6" s="10" t="s">
        <v>100</v>
      </c>
      <c r="L6" s="10" t="s">
        <v>101</v>
      </c>
      <c r="M6" s="10" t="s">
        <v>102</v>
      </c>
      <c r="N6" s="10">
        <v>3500000</v>
      </c>
      <c r="O6" s="10">
        <v>5500000</v>
      </c>
      <c r="P6" s="10" t="s">
        <v>103</v>
      </c>
      <c r="Q6" s="10" t="s">
        <v>104</v>
      </c>
      <c r="R6" s="10" t="s">
        <v>105</v>
      </c>
      <c r="S6" s="11" t="s">
        <v>106</v>
      </c>
      <c r="T6" s="11" t="s">
        <v>69</v>
      </c>
      <c r="U6" s="11" t="s">
        <v>98</v>
      </c>
      <c r="V6" s="11" t="s">
        <v>107</v>
      </c>
      <c r="W6" s="11">
        <v>4500000</v>
      </c>
      <c r="X6" s="11" t="s">
        <v>60</v>
      </c>
      <c r="Y6" s="12" t="s">
        <v>108</v>
      </c>
      <c r="Z6" s="12" t="s">
        <v>109</v>
      </c>
      <c r="AA6" s="12" t="s">
        <v>110</v>
      </c>
      <c r="AB6" s="12" t="s">
        <v>93</v>
      </c>
      <c r="AC6" s="12" t="s">
        <v>74</v>
      </c>
      <c r="AD6" s="13" t="s">
        <v>111</v>
      </c>
      <c r="AE6" s="14" t="s">
        <v>76</v>
      </c>
      <c r="AF6" s="13" t="s">
        <v>77</v>
      </c>
      <c r="AG6" s="13" t="s">
        <v>78</v>
      </c>
      <c r="AH6" s="13" t="s">
        <v>79</v>
      </c>
      <c r="AI6" s="13" t="s">
        <v>80</v>
      </c>
      <c r="AJ6" s="15" t="str">
        <f t="shared" si="0"/>
        <v>LBR013</v>
      </c>
      <c r="AK6" s="20">
        <f t="shared" si="1"/>
        <v>45767</v>
      </c>
      <c r="AL6" s="15">
        <f t="shared" si="2"/>
        <v>2</v>
      </c>
      <c r="AM6" s="15" t="str">
        <f t="shared" si="3"/>
        <v>Persiapan penggajian</v>
      </c>
      <c r="AN6" s="15" t="str">
        <f t="shared" si="4"/>
        <v>Pending</v>
      </c>
      <c r="AO6" s="15">
        <f t="shared" si="5"/>
        <v>22500</v>
      </c>
      <c r="AP6" s="16" t="s">
        <v>112</v>
      </c>
      <c r="AQ6" s="16" t="s">
        <v>82</v>
      </c>
      <c r="AR6" s="16">
        <v>2025</v>
      </c>
      <c r="AS6" s="16">
        <v>1200000</v>
      </c>
      <c r="AT6" s="16">
        <v>600000</v>
      </c>
      <c r="AU6" s="16">
        <v>0</v>
      </c>
      <c r="AV6" s="16">
        <v>5100000</v>
      </c>
      <c r="AW6" s="16" t="s">
        <v>84</v>
      </c>
      <c r="AX6" s="16" t="s">
        <v>85</v>
      </c>
      <c r="AY6" s="17" t="s">
        <v>664</v>
      </c>
      <c r="AZ6" s="17" t="s">
        <v>87</v>
      </c>
      <c r="BA6" s="17">
        <v>1000000</v>
      </c>
      <c r="BB6" s="17" t="str">
        <f t="shared" si="6"/>
        <v>Sesuai jabatan</v>
      </c>
      <c r="BC6" s="18" t="s">
        <v>115</v>
      </c>
      <c r="BD6" s="18" t="s">
        <v>116</v>
      </c>
      <c r="BE6" s="18">
        <v>200000</v>
      </c>
      <c r="BF6" s="18" t="s">
        <v>117</v>
      </c>
    </row>
    <row r="7" spans="1:58" x14ac:dyDescent="0.25">
      <c r="A7" s="10" t="s">
        <v>118</v>
      </c>
      <c r="B7" s="10" t="s">
        <v>119</v>
      </c>
      <c r="C7" s="10" t="s">
        <v>120</v>
      </c>
      <c r="D7" s="10" t="s">
        <v>121</v>
      </c>
      <c r="E7" s="10" t="s">
        <v>56</v>
      </c>
      <c r="F7" s="10" t="s">
        <v>122</v>
      </c>
      <c r="G7" s="10" t="s">
        <v>123</v>
      </c>
      <c r="H7" s="10" t="s">
        <v>124</v>
      </c>
      <c r="I7" s="10" t="s">
        <v>60</v>
      </c>
      <c r="J7" s="10" t="s">
        <v>125</v>
      </c>
      <c r="K7" s="10" t="s">
        <v>126</v>
      </c>
      <c r="L7" s="10" t="s">
        <v>127</v>
      </c>
      <c r="M7" s="10" t="s">
        <v>128</v>
      </c>
      <c r="N7" s="10">
        <v>5500000</v>
      </c>
      <c r="O7" s="10">
        <v>9000000</v>
      </c>
      <c r="P7" s="10" t="s">
        <v>129</v>
      </c>
      <c r="Q7" s="10" t="s">
        <v>130</v>
      </c>
      <c r="R7" s="10" t="s">
        <v>131</v>
      </c>
      <c r="S7" s="11" t="s">
        <v>132</v>
      </c>
      <c r="T7" s="11" t="s">
        <v>133</v>
      </c>
      <c r="U7" s="11" t="s">
        <v>124</v>
      </c>
      <c r="V7" s="11" t="s">
        <v>134</v>
      </c>
      <c r="W7" s="11">
        <v>6000000</v>
      </c>
      <c r="X7" s="11" t="s">
        <v>60</v>
      </c>
      <c r="Y7" s="12" t="s">
        <v>135</v>
      </c>
      <c r="Z7" s="12" t="s">
        <v>136</v>
      </c>
      <c r="AA7" s="12" t="s">
        <v>137</v>
      </c>
      <c r="AB7" s="12" t="s">
        <v>120</v>
      </c>
      <c r="AC7" s="12" t="s">
        <v>74</v>
      </c>
      <c r="AD7" s="13" t="s">
        <v>138</v>
      </c>
      <c r="AE7" s="14" t="s">
        <v>76</v>
      </c>
      <c r="AF7" s="13" t="s">
        <v>77</v>
      </c>
      <c r="AG7" s="13" t="s">
        <v>78</v>
      </c>
      <c r="AH7" s="13" t="s">
        <v>79</v>
      </c>
      <c r="AI7" s="13" t="s">
        <v>80</v>
      </c>
      <c r="AJ7" s="15" t="str">
        <f t="shared" si="0"/>
        <v>LBR002</v>
      </c>
      <c r="AK7" s="20">
        <f t="shared" si="1"/>
        <v>45756</v>
      </c>
      <c r="AL7" s="15">
        <f t="shared" si="2"/>
        <v>2</v>
      </c>
      <c r="AM7" s="15" t="str">
        <f t="shared" si="3"/>
        <v>Deploy sistem baru</v>
      </c>
      <c r="AN7" s="15" t="str">
        <f t="shared" si="4"/>
        <v>Approved</v>
      </c>
      <c r="AO7" s="15">
        <f t="shared" si="5"/>
        <v>27500</v>
      </c>
      <c r="AP7" s="16" t="s">
        <v>139</v>
      </c>
      <c r="AQ7" s="16" t="s">
        <v>82</v>
      </c>
      <c r="AR7" s="16" t="s">
        <v>83</v>
      </c>
      <c r="AS7" s="16">
        <v>1500000</v>
      </c>
      <c r="AT7" s="16">
        <v>780000</v>
      </c>
      <c r="AU7" s="16">
        <v>55000</v>
      </c>
      <c r="AV7" s="16">
        <v>6775000</v>
      </c>
      <c r="AW7" s="16" t="s">
        <v>84</v>
      </c>
      <c r="AX7" s="16" t="s">
        <v>85</v>
      </c>
      <c r="AY7" s="17" t="s">
        <v>140</v>
      </c>
      <c r="AZ7" s="17" t="s">
        <v>141</v>
      </c>
      <c r="BA7" s="17">
        <v>400000</v>
      </c>
      <c r="BB7" s="17" t="str">
        <f t="shared" si="6"/>
        <v>Biaya transport</v>
      </c>
      <c r="BC7" s="18" t="s">
        <v>142</v>
      </c>
      <c r="BD7" s="18" t="s">
        <v>143</v>
      </c>
      <c r="BE7" s="18">
        <v>800000</v>
      </c>
      <c r="BF7" s="18" t="s">
        <v>144</v>
      </c>
    </row>
    <row r="8" spans="1:58" x14ac:dyDescent="0.25">
      <c r="A8" s="10" t="s">
        <v>145</v>
      </c>
      <c r="B8" s="10" t="s">
        <v>146</v>
      </c>
      <c r="C8" s="10" t="s">
        <v>147</v>
      </c>
      <c r="D8" s="10" t="s">
        <v>148</v>
      </c>
      <c r="E8" s="10" t="s">
        <v>95</v>
      </c>
      <c r="F8" s="10" t="s">
        <v>149</v>
      </c>
      <c r="G8" s="10" t="s">
        <v>150</v>
      </c>
      <c r="H8" s="10" t="s">
        <v>151</v>
      </c>
      <c r="I8" s="10" t="s">
        <v>60</v>
      </c>
      <c r="J8" s="10" t="s">
        <v>152</v>
      </c>
      <c r="K8" s="10" t="s">
        <v>153</v>
      </c>
      <c r="L8" s="10" t="s">
        <v>154</v>
      </c>
      <c r="M8" s="10" t="s">
        <v>128</v>
      </c>
      <c r="N8" s="10">
        <v>5000000</v>
      </c>
      <c r="O8" s="10">
        <v>8000000</v>
      </c>
      <c r="P8" s="10" t="s">
        <v>155</v>
      </c>
      <c r="Q8" s="10" t="s">
        <v>156</v>
      </c>
      <c r="R8" s="10" t="s">
        <v>157</v>
      </c>
      <c r="S8" s="11" t="s">
        <v>158</v>
      </c>
      <c r="T8" s="11" t="s">
        <v>69</v>
      </c>
      <c r="U8" s="11" t="s">
        <v>151</v>
      </c>
      <c r="V8" s="11" t="s">
        <v>159</v>
      </c>
      <c r="W8" s="11">
        <v>6500000</v>
      </c>
      <c r="X8" s="11" t="s">
        <v>60</v>
      </c>
      <c r="Y8" s="12" t="s">
        <v>160</v>
      </c>
      <c r="Z8" s="12" t="s">
        <v>161</v>
      </c>
      <c r="AA8" s="12" t="s">
        <v>162</v>
      </c>
      <c r="AB8" s="12" t="s">
        <v>147</v>
      </c>
      <c r="AC8" s="12" t="s">
        <v>74</v>
      </c>
      <c r="AD8" s="13" t="s">
        <v>163</v>
      </c>
      <c r="AE8" s="14" t="s">
        <v>76</v>
      </c>
      <c r="AF8" s="13" t="s">
        <v>77</v>
      </c>
      <c r="AG8" s="13" t="s">
        <v>78</v>
      </c>
      <c r="AH8" s="13" t="s">
        <v>79</v>
      </c>
      <c r="AI8" s="13" t="s">
        <v>80</v>
      </c>
      <c r="AJ8" s="15" t="str">
        <f t="shared" si="0"/>
        <v>LBR003</v>
      </c>
      <c r="AK8" s="20">
        <f t="shared" si="1"/>
        <v>45757</v>
      </c>
      <c r="AL8" s="15">
        <f t="shared" si="2"/>
        <v>4</v>
      </c>
      <c r="AM8" s="15" t="str">
        <f t="shared" si="3"/>
        <v>Event pemasaran</v>
      </c>
      <c r="AN8" s="15" t="str">
        <f t="shared" si="4"/>
        <v>Approved</v>
      </c>
      <c r="AO8" s="15">
        <f t="shared" si="5"/>
        <v>22000</v>
      </c>
      <c r="AP8" s="16" t="s">
        <v>164</v>
      </c>
      <c r="AQ8" s="16" t="s">
        <v>82</v>
      </c>
      <c r="AR8" s="16" t="s">
        <v>83</v>
      </c>
      <c r="AS8" s="16">
        <v>1700000</v>
      </c>
      <c r="AT8" s="16">
        <v>850000</v>
      </c>
      <c r="AU8" s="16">
        <v>88000</v>
      </c>
      <c r="AV8" s="16">
        <v>7438000</v>
      </c>
      <c r="AW8" s="16" t="s">
        <v>84</v>
      </c>
      <c r="AX8" s="16" t="s">
        <v>85</v>
      </c>
      <c r="AY8" s="17" t="s">
        <v>165</v>
      </c>
      <c r="AZ8" s="17" t="s">
        <v>114</v>
      </c>
      <c r="BA8" s="17">
        <v>600000</v>
      </c>
      <c r="BB8" s="17" t="str">
        <f t="shared" si="6"/>
        <v>Biaya makan</v>
      </c>
      <c r="BC8" s="18" t="s">
        <v>166</v>
      </c>
      <c r="BD8" s="18" t="s">
        <v>89</v>
      </c>
      <c r="BE8" s="18">
        <v>112500</v>
      </c>
      <c r="BF8" s="18" t="s">
        <v>90</v>
      </c>
    </row>
    <row r="9" spans="1:58" x14ac:dyDescent="0.25">
      <c r="A9" s="10" t="s">
        <v>167</v>
      </c>
      <c r="B9" s="10" t="s">
        <v>168</v>
      </c>
      <c r="C9" s="10" t="s">
        <v>169</v>
      </c>
      <c r="D9" s="10" t="s">
        <v>170</v>
      </c>
      <c r="E9" s="10" t="s">
        <v>56</v>
      </c>
      <c r="F9" s="10" t="s">
        <v>171</v>
      </c>
      <c r="G9" s="10" t="s">
        <v>172</v>
      </c>
      <c r="H9" s="10" t="s">
        <v>173</v>
      </c>
      <c r="I9" s="10" t="s">
        <v>60</v>
      </c>
      <c r="J9" s="10" t="s">
        <v>174</v>
      </c>
      <c r="K9" s="10" t="s">
        <v>175</v>
      </c>
      <c r="L9" s="10" t="s">
        <v>176</v>
      </c>
      <c r="M9" s="10" t="s">
        <v>177</v>
      </c>
      <c r="N9" s="10">
        <v>2500000</v>
      </c>
      <c r="O9" s="10">
        <v>3500000</v>
      </c>
      <c r="P9" s="10" t="s">
        <v>178</v>
      </c>
      <c r="Q9" s="10" t="s">
        <v>179</v>
      </c>
      <c r="R9" s="10" t="s">
        <v>180</v>
      </c>
      <c r="S9" s="11" t="s">
        <v>181</v>
      </c>
      <c r="T9" s="11" t="s">
        <v>133</v>
      </c>
      <c r="U9" s="11" t="s">
        <v>173</v>
      </c>
      <c r="V9" s="11" t="s">
        <v>182</v>
      </c>
      <c r="W9" s="11">
        <v>2800000</v>
      </c>
      <c r="X9" s="11" t="s">
        <v>60</v>
      </c>
      <c r="Y9" s="12" t="s">
        <v>183</v>
      </c>
      <c r="Z9" s="12" t="s">
        <v>72</v>
      </c>
      <c r="AA9" s="12" t="s">
        <v>184</v>
      </c>
      <c r="AB9" s="12" t="s">
        <v>169</v>
      </c>
      <c r="AC9" s="12" t="s">
        <v>185</v>
      </c>
      <c r="AD9" s="13" t="s">
        <v>186</v>
      </c>
      <c r="AE9" s="14" t="s">
        <v>76</v>
      </c>
      <c r="AF9" s="13" t="s">
        <v>77</v>
      </c>
      <c r="AG9" s="13" t="s">
        <v>78</v>
      </c>
      <c r="AH9" s="13" t="s">
        <v>79</v>
      </c>
      <c r="AI9" s="13" t="s">
        <v>80</v>
      </c>
      <c r="AJ9" s="15" t="str">
        <f t="shared" si="0"/>
        <v>-</v>
      </c>
      <c r="AK9" s="20" t="str">
        <f t="shared" si="1"/>
        <v>-</v>
      </c>
      <c r="AL9" s="15" t="str">
        <f t="shared" si="2"/>
        <v>-</v>
      </c>
      <c r="AM9" s="15" t="str">
        <f t="shared" si="3"/>
        <v>-</v>
      </c>
      <c r="AN9" s="15" t="str">
        <f t="shared" si="4"/>
        <v>-</v>
      </c>
      <c r="AO9" s="15" t="str">
        <f t="shared" si="5"/>
        <v>-</v>
      </c>
      <c r="AP9" s="16" t="s">
        <v>187</v>
      </c>
      <c r="AQ9" s="16" t="s">
        <v>82</v>
      </c>
      <c r="AR9" s="16" t="s">
        <v>83</v>
      </c>
      <c r="AS9" s="16">
        <v>700000</v>
      </c>
      <c r="AT9" s="16">
        <v>364000</v>
      </c>
      <c r="AU9" s="16">
        <v>0</v>
      </c>
      <c r="AV9" s="16">
        <v>3136000</v>
      </c>
      <c r="AW9" s="16" t="s">
        <v>84</v>
      </c>
      <c r="AX9" s="16" t="s">
        <v>85</v>
      </c>
      <c r="AY9" s="17" t="s">
        <v>188</v>
      </c>
      <c r="AZ9" s="17" t="s">
        <v>141</v>
      </c>
      <c r="BA9" s="17">
        <v>400000</v>
      </c>
      <c r="BB9" s="17" t="str">
        <f t="shared" si="6"/>
        <v>Biaya transport</v>
      </c>
      <c r="BC9" s="18" t="s">
        <v>189</v>
      </c>
      <c r="BD9" s="18" t="s">
        <v>116</v>
      </c>
      <c r="BE9" s="18">
        <v>90000</v>
      </c>
      <c r="BF9" s="18" t="s">
        <v>117</v>
      </c>
    </row>
    <row r="10" spans="1:58" x14ac:dyDescent="0.25">
      <c r="A10" s="10" t="s">
        <v>190</v>
      </c>
      <c r="B10" s="10" t="s">
        <v>191</v>
      </c>
      <c r="C10" s="10" t="s">
        <v>192</v>
      </c>
      <c r="D10" s="10" t="s">
        <v>193</v>
      </c>
      <c r="E10" s="10" t="s">
        <v>95</v>
      </c>
      <c r="F10" s="10" t="s">
        <v>194</v>
      </c>
      <c r="G10" s="10" t="s">
        <v>195</v>
      </c>
      <c r="H10" s="10" t="s">
        <v>196</v>
      </c>
      <c r="I10" s="10" t="s">
        <v>60</v>
      </c>
      <c r="J10" s="10" t="s">
        <v>61</v>
      </c>
      <c r="K10" s="10" t="s">
        <v>153</v>
      </c>
      <c r="L10" s="10" t="s">
        <v>154</v>
      </c>
      <c r="M10" s="10" t="s">
        <v>128</v>
      </c>
      <c r="N10" s="10">
        <v>5000000</v>
      </c>
      <c r="O10" s="10">
        <v>8000000</v>
      </c>
      <c r="P10" s="10" t="s">
        <v>65</v>
      </c>
      <c r="Q10" s="10" t="s">
        <v>66</v>
      </c>
      <c r="R10" s="10" t="s">
        <v>67</v>
      </c>
      <c r="S10" s="11" t="s">
        <v>197</v>
      </c>
      <c r="T10" s="11" t="s">
        <v>69</v>
      </c>
      <c r="U10" s="11" t="s">
        <v>196</v>
      </c>
      <c r="V10" s="11" t="s">
        <v>198</v>
      </c>
      <c r="W10" s="11">
        <v>5500000</v>
      </c>
      <c r="X10" s="11" t="s">
        <v>60</v>
      </c>
      <c r="Y10" s="12" t="s">
        <v>199</v>
      </c>
      <c r="Z10" s="12" t="s">
        <v>200</v>
      </c>
      <c r="AA10" s="12" t="s">
        <v>201</v>
      </c>
      <c r="AB10" s="12" t="s">
        <v>192</v>
      </c>
      <c r="AC10" s="12" t="s">
        <v>74</v>
      </c>
      <c r="AD10" s="13" t="s">
        <v>202</v>
      </c>
      <c r="AE10" s="14" t="s">
        <v>76</v>
      </c>
      <c r="AF10" s="13" t="s">
        <v>77</v>
      </c>
      <c r="AG10" s="13" t="s">
        <v>78</v>
      </c>
      <c r="AH10" s="13" t="s">
        <v>79</v>
      </c>
      <c r="AI10" s="13" t="s">
        <v>80</v>
      </c>
      <c r="AJ10" s="15" t="str">
        <f t="shared" si="0"/>
        <v>LBR004</v>
      </c>
      <c r="AK10" s="20">
        <f t="shared" si="1"/>
        <v>45758</v>
      </c>
      <c r="AL10" s="15">
        <f t="shared" si="2"/>
        <v>2</v>
      </c>
      <c r="AM10" s="15" t="str">
        <f t="shared" si="3"/>
        <v>Rekrutmen karyawan</v>
      </c>
      <c r="AN10" s="15" t="str">
        <f t="shared" si="4"/>
        <v>Approved</v>
      </c>
      <c r="AO10" s="15">
        <f t="shared" si="5"/>
        <v>22000</v>
      </c>
      <c r="AP10" s="16" t="s">
        <v>203</v>
      </c>
      <c r="AQ10" s="16" t="s">
        <v>82</v>
      </c>
      <c r="AR10" s="16" t="s">
        <v>83</v>
      </c>
      <c r="AS10" s="16">
        <v>1400000</v>
      </c>
      <c r="AT10" s="16">
        <v>715000</v>
      </c>
      <c r="AU10" s="16">
        <v>44000</v>
      </c>
      <c r="AV10" s="16">
        <v>6229000</v>
      </c>
      <c r="AW10" s="16" t="s">
        <v>84</v>
      </c>
      <c r="AX10" s="16" t="s">
        <v>85</v>
      </c>
      <c r="AY10" s="17" t="s">
        <v>204</v>
      </c>
      <c r="AZ10" s="17" t="s">
        <v>205</v>
      </c>
      <c r="BA10" s="17">
        <v>200000</v>
      </c>
      <c r="BB10" s="17" t="str">
        <f t="shared" si="6"/>
        <v>Biaya kesehatan</v>
      </c>
      <c r="BC10" s="18" t="s">
        <v>206</v>
      </c>
      <c r="BD10" s="18" t="s">
        <v>143</v>
      </c>
      <c r="BE10" s="18">
        <v>397500</v>
      </c>
      <c r="BF10" s="18" t="s">
        <v>144</v>
      </c>
    </row>
    <row r="11" spans="1:58" x14ac:dyDescent="0.25">
      <c r="A11" s="10" t="s">
        <v>207</v>
      </c>
      <c r="B11" s="10" t="s">
        <v>208</v>
      </c>
      <c r="C11" s="10" t="s">
        <v>209</v>
      </c>
      <c r="D11" s="10" t="s">
        <v>210</v>
      </c>
      <c r="E11" s="10" t="s">
        <v>56</v>
      </c>
      <c r="F11" s="10" t="s">
        <v>211</v>
      </c>
      <c r="G11" s="10" t="s">
        <v>212</v>
      </c>
      <c r="H11" s="10" t="s">
        <v>213</v>
      </c>
      <c r="I11" s="10" t="s">
        <v>60</v>
      </c>
      <c r="J11" s="10" t="s">
        <v>125</v>
      </c>
      <c r="K11" s="10" t="s">
        <v>175</v>
      </c>
      <c r="L11" s="10" t="s">
        <v>176</v>
      </c>
      <c r="M11" s="10" t="s">
        <v>177</v>
      </c>
      <c r="N11" s="10">
        <v>2500000</v>
      </c>
      <c r="O11" s="10">
        <v>3500000</v>
      </c>
      <c r="P11" s="10" t="s">
        <v>129</v>
      </c>
      <c r="Q11" s="10" t="s">
        <v>130</v>
      </c>
      <c r="R11" s="10" t="s">
        <v>131</v>
      </c>
      <c r="S11" s="11" t="s">
        <v>214</v>
      </c>
      <c r="T11" s="11" t="s">
        <v>133</v>
      </c>
      <c r="U11" s="11" t="s">
        <v>213</v>
      </c>
      <c r="V11" s="11" t="s">
        <v>215</v>
      </c>
      <c r="W11" s="11">
        <v>2800000</v>
      </c>
      <c r="X11" s="11" t="s">
        <v>60</v>
      </c>
      <c r="Y11" s="12" t="s">
        <v>216</v>
      </c>
      <c r="Z11" s="12" t="s">
        <v>109</v>
      </c>
      <c r="AA11" s="12" t="s">
        <v>217</v>
      </c>
      <c r="AB11" s="12" t="s">
        <v>209</v>
      </c>
      <c r="AC11" s="12" t="s">
        <v>218</v>
      </c>
      <c r="AD11" s="13" t="s">
        <v>219</v>
      </c>
      <c r="AE11" s="14" t="s">
        <v>76</v>
      </c>
      <c r="AF11" s="13" t="s">
        <v>80</v>
      </c>
      <c r="AG11" s="13" t="s">
        <v>80</v>
      </c>
      <c r="AH11" s="13" t="s">
        <v>220</v>
      </c>
      <c r="AI11" s="13" t="s">
        <v>221</v>
      </c>
      <c r="AJ11" s="15" t="str">
        <f t="shared" si="0"/>
        <v>LBR014</v>
      </c>
      <c r="AK11" s="20">
        <f t="shared" si="1"/>
        <v>45769</v>
      </c>
      <c r="AL11" s="15">
        <f t="shared" si="2"/>
        <v>3</v>
      </c>
      <c r="AM11" s="15" t="str">
        <f t="shared" si="3"/>
        <v>Testing aplikasi</v>
      </c>
      <c r="AN11" s="15" t="str">
        <f t="shared" si="4"/>
        <v>Pending</v>
      </c>
      <c r="AO11" s="15">
        <f t="shared" si="5"/>
        <v>20000</v>
      </c>
      <c r="AP11" s="16" t="s">
        <v>222</v>
      </c>
      <c r="AQ11" s="16" t="s">
        <v>82</v>
      </c>
      <c r="AR11" s="16" t="s">
        <v>83</v>
      </c>
      <c r="AS11" s="16">
        <v>700000</v>
      </c>
      <c r="AT11" s="16">
        <v>364000</v>
      </c>
      <c r="AU11" s="16">
        <v>60000</v>
      </c>
      <c r="AV11" s="16">
        <v>3196000</v>
      </c>
      <c r="AW11" s="16" t="s">
        <v>84</v>
      </c>
      <c r="AX11" s="16" t="s">
        <v>85</v>
      </c>
      <c r="AY11" s="17" t="s">
        <v>223</v>
      </c>
      <c r="AZ11" s="17" t="s">
        <v>87</v>
      </c>
      <c r="BA11" s="17">
        <v>700000</v>
      </c>
      <c r="BB11" s="17" t="str">
        <f t="shared" si="6"/>
        <v>Sesuai jabatan</v>
      </c>
      <c r="BC11" s="18" t="s">
        <v>224</v>
      </c>
      <c r="BD11" s="18" t="s">
        <v>89</v>
      </c>
      <c r="BE11" s="18">
        <v>150000</v>
      </c>
      <c r="BF11" s="18" t="s">
        <v>90</v>
      </c>
    </row>
    <row r="12" spans="1:58" x14ac:dyDescent="0.25">
      <c r="A12" s="10" t="s">
        <v>225</v>
      </c>
      <c r="B12" s="10" t="s">
        <v>226</v>
      </c>
      <c r="C12" s="10" t="s">
        <v>227</v>
      </c>
      <c r="D12" s="10" t="s">
        <v>228</v>
      </c>
      <c r="E12" s="10" t="s">
        <v>95</v>
      </c>
      <c r="F12" s="10" t="s">
        <v>229</v>
      </c>
      <c r="G12" s="10" t="s">
        <v>230</v>
      </c>
      <c r="H12" s="10" t="s">
        <v>231</v>
      </c>
      <c r="I12" s="10" t="s">
        <v>60</v>
      </c>
      <c r="J12" s="10" t="s">
        <v>99</v>
      </c>
      <c r="K12" s="10" t="s">
        <v>153</v>
      </c>
      <c r="L12" s="10" t="s">
        <v>154</v>
      </c>
      <c r="M12" s="10" t="s">
        <v>128</v>
      </c>
      <c r="N12" s="10">
        <v>5000000</v>
      </c>
      <c r="O12" s="10">
        <v>8000000</v>
      </c>
      <c r="P12" s="10" t="s">
        <v>103</v>
      </c>
      <c r="Q12" s="10" t="s">
        <v>104</v>
      </c>
      <c r="R12" s="10" t="s">
        <v>105</v>
      </c>
      <c r="S12" s="11" t="s">
        <v>232</v>
      </c>
      <c r="T12" s="11" t="s">
        <v>69</v>
      </c>
      <c r="U12" s="11" t="s">
        <v>231</v>
      </c>
      <c r="V12" s="11" t="s">
        <v>233</v>
      </c>
      <c r="W12" s="11">
        <v>5800000</v>
      </c>
      <c r="X12" s="11" t="s">
        <v>60</v>
      </c>
      <c r="Y12" s="12" t="s">
        <v>234</v>
      </c>
      <c r="Z12" s="12" t="s">
        <v>72</v>
      </c>
      <c r="AA12" s="12" t="s">
        <v>235</v>
      </c>
      <c r="AB12" s="12" t="s">
        <v>227</v>
      </c>
      <c r="AC12" s="12" t="s">
        <v>185</v>
      </c>
      <c r="AD12" s="13" t="s">
        <v>236</v>
      </c>
      <c r="AE12" s="14" t="s">
        <v>76</v>
      </c>
      <c r="AF12" s="13" t="s">
        <v>77</v>
      </c>
      <c r="AG12" s="13" t="s">
        <v>78</v>
      </c>
      <c r="AH12" s="13" t="s">
        <v>79</v>
      </c>
      <c r="AI12" s="13" t="s">
        <v>80</v>
      </c>
      <c r="AJ12" s="15" t="str">
        <f t="shared" si="0"/>
        <v>LBR005</v>
      </c>
      <c r="AK12" s="20">
        <f t="shared" si="1"/>
        <v>45759</v>
      </c>
      <c r="AL12" s="15">
        <f t="shared" si="2"/>
        <v>3</v>
      </c>
      <c r="AM12" s="15" t="str">
        <f t="shared" si="3"/>
        <v>Audit keuangan</v>
      </c>
      <c r="AN12" s="15" t="str">
        <f t="shared" si="4"/>
        <v>Approved</v>
      </c>
      <c r="AO12" s="15">
        <f t="shared" si="5"/>
        <v>23000</v>
      </c>
      <c r="AP12" s="16" t="s">
        <v>237</v>
      </c>
      <c r="AQ12" s="16" t="s">
        <v>82</v>
      </c>
      <c r="AR12" s="16" t="s">
        <v>83</v>
      </c>
      <c r="AS12" s="16">
        <v>1500000</v>
      </c>
      <c r="AT12" s="16">
        <v>754000</v>
      </c>
      <c r="AU12" s="16">
        <v>69000</v>
      </c>
      <c r="AV12" s="16">
        <v>6615000</v>
      </c>
      <c r="AW12" s="16" t="s">
        <v>84</v>
      </c>
      <c r="AX12" s="16" t="s">
        <v>85</v>
      </c>
      <c r="AY12" s="17" t="s">
        <v>238</v>
      </c>
      <c r="AZ12" s="17" t="s">
        <v>114</v>
      </c>
      <c r="BA12" s="17">
        <v>500000</v>
      </c>
      <c r="BB12" s="17" t="str">
        <f t="shared" si="6"/>
        <v>Biaya makan</v>
      </c>
      <c r="BC12" s="18" t="s">
        <v>239</v>
      </c>
      <c r="BD12" s="18" t="s">
        <v>116</v>
      </c>
      <c r="BE12" s="18">
        <v>120000</v>
      </c>
      <c r="BF12" s="18" t="s">
        <v>117</v>
      </c>
    </row>
    <row r="13" spans="1:58" x14ac:dyDescent="0.25">
      <c r="A13" s="10" t="s">
        <v>240</v>
      </c>
      <c r="B13" s="10" t="s">
        <v>241</v>
      </c>
      <c r="C13" s="10" t="s">
        <v>242</v>
      </c>
      <c r="D13" s="10" t="s">
        <v>243</v>
      </c>
      <c r="E13" s="10" t="s">
        <v>56</v>
      </c>
      <c r="F13" s="10" t="s">
        <v>244</v>
      </c>
      <c r="G13" s="10" t="s">
        <v>245</v>
      </c>
      <c r="H13" s="10" t="s">
        <v>246</v>
      </c>
      <c r="I13" s="10" t="s">
        <v>60</v>
      </c>
      <c r="J13" s="10" t="s">
        <v>125</v>
      </c>
      <c r="K13" s="10" t="s">
        <v>247</v>
      </c>
      <c r="L13" s="10" t="s">
        <v>248</v>
      </c>
      <c r="M13" s="10" t="s">
        <v>128</v>
      </c>
      <c r="N13" s="10">
        <v>5000000</v>
      </c>
      <c r="O13" s="10">
        <v>8500000</v>
      </c>
      <c r="P13" s="10" t="s">
        <v>129</v>
      </c>
      <c r="Q13" s="10" t="s">
        <v>130</v>
      </c>
      <c r="R13" s="10" t="s">
        <v>131</v>
      </c>
      <c r="S13" s="11" t="s">
        <v>249</v>
      </c>
      <c r="T13" s="11" t="s">
        <v>133</v>
      </c>
      <c r="U13" s="11" t="s">
        <v>246</v>
      </c>
      <c r="V13" s="11" t="s">
        <v>250</v>
      </c>
      <c r="W13" s="11">
        <v>5500000</v>
      </c>
      <c r="X13" s="11" t="s">
        <v>60</v>
      </c>
      <c r="Y13" s="12" t="s">
        <v>251</v>
      </c>
      <c r="Z13" s="12" t="s">
        <v>136</v>
      </c>
      <c r="AA13" s="12" t="s">
        <v>252</v>
      </c>
      <c r="AB13" s="12" t="s">
        <v>242</v>
      </c>
      <c r="AC13" s="12" t="s">
        <v>74</v>
      </c>
      <c r="AD13" s="13" t="s">
        <v>253</v>
      </c>
      <c r="AE13" s="14" t="s">
        <v>76</v>
      </c>
      <c r="AF13" s="13" t="s">
        <v>77</v>
      </c>
      <c r="AG13" s="13" t="s">
        <v>78</v>
      </c>
      <c r="AH13" s="13" t="s">
        <v>79</v>
      </c>
      <c r="AI13" s="13" t="s">
        <v>80</v>
      </c>
      <c r="AJ13" s="15" t="str">
        <f t="shared" si="0"/>
        <v>LBR006</v>
      </c>
      <c r="AK13" s="20">
        <f t="shared" si="1"/>
        <v>45760</v>
      </c>
      <c r="AL13" s="15">
        <f t="shared" si="2"/>
        <v>5</v>
      </c>
      <c r="AM13" s="15" t="str">
        <f t="shared" si="3"/>
        <v>Maintenance server</v>
      </c>
      <c r="AN13" s="15" t="str">
        <f t="shared" si="4"/>
        <v>Approved</v>
      </c>
      <c r="AO13" s="15">
        <f t="shared" si="5"/>
        <v>27500</v>
      </c>
      <c r="AP13" s="16" t="s">
        <v>254</v>
      </c>
      <c r="AQ13" s="16" t="s">
        <v>82</v>
      </c>
      <c r="AR13" s="16" t="s">
        <v>83</v>
      </c>
      <c r="AS13" s="16">
        <v>1400000</v>
      </c>
      <c r="AT13" s="16">
        <v>715000</v>
      </c>
      <c r="AU13" s="16">
        <v>137500</v>
      </c>
      <c r="AV13" s="16">
        <v>6322500</v>
      </c>
      <c r="AW13" s="16" t="s">
        <v>84</v>
      </c>
      <c r="AX13" s="16" t="s">
        <v>85</v>
      </c>
      <c r="AY13" s="17" t="s">
        <v>255</v>
      </c>
      <c r="AZ13" s="17" t="s">
        <v>141</v>
      </c>
      <c r="BA13" s="17">
        <v>300000</v>
      </c>
      <c r="BB13" s="17" t="str">
        <f t="shared" si="6"/>
        <v>Biaya transport</v>
      </c>
      <c r="BC13" s="18" t="s">
        <v>256</v>
      </c>
      <c r="BD13" s="18" t="s">
        <v>143</v>
      </c>
      <c r="BE13" s="18">
        <v>510000</v>
      </c>
      <c r="BF13" s="18" t="s">
        <v>144</v>
      </c>
    </row>
    <row r="14" spans="1:58" x14ac:dyDescent="0.25">
      <c r="A14" s="10" t="s">
        <v>257</v>
      </c>
      <c r="B14" s="10" t="s">
        <v>258</v>
      </c>
      <c r="C14" s="10" t="s">
        <v>259</v>
      </c>
      <c r="D14" s="10" t="s">
        <v>260</v>
      </c>
      <c r="E14" s="10" t="s">
        <v>95</v>
      </c>
      <c r="F14" s="10" t="s">
        <v>261</v>
      </c>
      <c r="G14" s="10" t="s">
        <v>262</v>
      </c>
      <c r="H14" s="10" t="s">
        <v>263</v>
      </c>
      <c r="I14" s="10" t="s">
        <v>60</v>
      </c>
      <c r="J14" s="10" t="s">
        <v>152</v>
      </c>
      <c r="K14" s="10" t="s">
        <v>100</v>
      </c>
      <c r="L14" s="10" t="s">
        <v>101</v>
      </c>
      <c r="M14" s="10" t="s">
        <v>102</v>
      </c>
      <c r="N14" s="10">
        <v>3500000</v>
      </c>
      <c r="O14" s="10">
        <v>5500000</v>
      </c>
      <c r="P14" s="10" t="s">
        <v>155</v>
      </c>
      <c r="Q14" s="10" t="s">
        <v>156</v>
      </c>
      <c r="R14" s="10" t="s">
        <v>157</v>
      </c>
      <c r="S14" s="11" t="s">
        <v>264</v>
      </c>
      <c r="T14" s="11" t="s">
        <v>69</v>
      </c>
      <c r="U14" s="11" t="s">
        <v>263</v>
      </c>
      <c r="V14" s="11" t="s">
        <v>265</v>
      </c>
      <c r="W14" s="11">
        <v>4800000</v>
      </c>
      <c r="X14" s="11" t="s">
        <v>60</v>
      </c>
      <c r="Y14" s="12" t="s">
        <v>266</v>
      </c>
      <c r="Z14" s="12" t="s">
        <v>161</v>
      </c>
      <c r="AA14" s="12" t="s">
        <v>267</v>
      </c>
      <c r="AB14" s="12" t="s">
        <v>259</v>
      </c>
      <c r="AC14" s="12" t="s">
        <v>185</v>
      </c>
      <c r="AD14" s="13" t="s">
        <v>268</v>
      </c>
      <c r="AE14" s="14" t="s">
        <v>76</v>
      </c>
      <c r="AF14" s="13" t="s">
        <v>80</v>
      </c>
      <c r="AG14" s="13" t="s">
        <v>80</v>
      </c>
      <c r="AH14" s="13" t="s">
        <v>269</v>
      </c>
      <c r="AI14" s="13" t="s">
        <v>270</v>
      </c>
      <c r="AJ14" s="15" t="str">
        <f t="shared" si="0"/>
        <v>LBR015</v>
      </c>
      <c r="AK14" s="20">
        <f t="shared" si="1"/>
        <v>45770</v>
      </c>
      <c r="AL14" s="15">
        <f t="shared" si="2"/>
        <v>2</v>
      </c>
      <c r="AM14" s="15" t="str">
        <f t="shared" si="3"/>
        <v>Analisis pasar</v>
      </c>
      <c r="AN14" s="15" t="str">
        <f t="shared" si="4"/>
        <v>Pending</v>
      </c>
      <c r="AO14" s="15">
        <f t="shared" si="5"/>
        <v>21000</v>
      </c>
      <c r="AP14" s="16" t="s">
        <v>271</v>
      </c>
      <c r="AQ14" s="16" t="s">
        <v>82</v>
      </c>
      <c r="AR14" s="16" t="s">
        <v>83</v>
      </c>
      <c r="AS14" s="16">
        <v>1200000</v>
      </c>
      <c r="AT14" s="16">
        <v>624000</v>
      </c>
      <c r="AU14" s="16">
        <v>0</v>
      </c>
      <c r="AV14" s="16">
        <v>5376000</v>
      </c>
      <c r="AW14" s="16" t="s">
        <v>84</v>
      </c>
      <c r="AX14" s="16" t="s">
        <v>85</v>
      </c>
      <c r="AY14" s="17" t="s">
        <v>272</v>
      </c>
      <c r="AZ14" s="17" t="s">
        <v>87</v>
      </c>
      <c r="BA14" s="17">
        <v>900000</v>
      </c>
      <c r="BB14" s="17" t="str">
        <f t="shared" si="6"/>
        <v>Sesuai jabatan</v>
      </c>
      <c r="BC14" s="18" t="s">
        <v>273</v>
      </c>
      <c r="BD14" s="18" t="s">
        <v>89</v>
      </c>
      <c r="BE14" s="18">
        <v>162500</v>
      </c>
      <c r="BF14" s="18" t="s">
        <v>90</v>
      </c>
    </row>
    <row r="15" spans="1:58" x14ac:dyDescent="0.25">
      <c r="A15" s="10" t="s">
        <v>274</v>
      </c>
      <c r="B15" s="10" t="s">
        <v>275</v>
      </c>
      <c r="C15" s="10" t="s">
        <v>276</v>
      </c>
      <c r="D15" s="10" t="s">
        <v>277</v>
      </c>
      <c r="E15" s="10" t="s">
        <v>56</v>
      </c>
      <c r="F15" s="10" t="s">
        <v>278</v>
      </c>
      <c r="G15" s="10" t="s">
        <v>279</v>
      </c>
      <c r="H15" s="10" t="s">
        <v>280</v>
      </c>
      <c r="I15" s="10" t="s">
        <v>60</v>
      </c>
      <c r="J15" s="10" t="s">
        <v>174</v>
      </c>
      <c r="K15" s="10" t="s">
        <v>175</v>
      </c>
      <c r="L15" s="10" t="s">
        <v>176</v>
      </c>
      <c r="M15" s="10" t="s">
        <v>177</v>
      </c>
      <c r="N15" s="10">
        <v>2500000</v>
      </c>
      <c r="O15" s="10">
        <v>3500000</v>
      </c>
      <c r="P15" s="10" t="s">
        <v>178</v>
      </c>
      <c r="Q15" s="10" t="s">
        <v>179</v>
      </c>
      <c r="R15" s="10" t="s">
        <v>180</v>
      </c>
      <c r="S15" s="11" t="s">
        <v>281</v>
      </c>
      <c r="T15" s="11" t="s">
        <v>133</v>
      </c>
      <c r="U15" s="11" t="s">
        <v>280</v>
      </c>
      <c r="V15" s="11" t="s">
        <v>182</v>
      </c>
      <c r="W15" s="11">
        <v>2800000</v>
      </c>
      <c r="X15" s="11" t="s">
        <v>60</v>
      </c>
      <c r="Y15" s="12" t="s">
        <v>282</v>
      </c>
      <c r="Z15" s="12" t="s">
        <v>109</v>
      </c>
      <c r="AA15" s="12" t="s">
        <v>283</v>
      </c>
      <c r="AB15" s="12" t="s">
        <v>276</v>
      </c>
      <c r="AC15" s="12" t="s">
        <v>74</v>
      </c>
      <c r="AD15" s="13" t="s">
        <v>284</v>
      </c>
      <c r="AE15" s="14" t="s">
        <v>76</v>
      </c>
      <c r="AF15" s="13" t="s">
        <v>77</v>
      </c>
      <c r="AG15" s="13" t="s">
        <v>78</v>
      </c>
      <c r="AH15" s="13" t="s">
        <v>79</v>
      </c>
      <c r="AI15" s="13" t="s">
        <v>80</v>
      </c>
      <c r="AJ15" s="15" t="str">
        <f t="shared" si="0"/>
        <v>-</v>
      </c>
      <c r="AK15" s="20" t="str">
        <f t="shared" si="1"/>
        <v>-</v>
      </c>
      <c r="AL15" s="15" t="str">
        <f t="shared" si="2"/>
        <v>-</v>
      </c>
      <c r="AM15" s="15" t="str">
        <f t="shared" si="3"/>
        <v>-</v>
      </c>
      <c r="AN15" s="15" t="str">
        <f t="shared" si="4"/>
        <v>-</v>
      </c>
      <c r="AO15" s="15" t="str">
        <f t="shared" si="5"/>
        <v>-</v>
      </c>
      <c r="AP15" s="16" t="s">
        <v>285</v>
      </c>
      <c r="AQ15" s="16" t="s">
        <v>82</v>
      </c>
      <c r="AR15" s="16" t="s">
        <v>83</v>
      </c>
      <c r="AS15" s="16">
        <v>700000</v>
      </c>
      <c r="AT15" s="16">
        <v>364000</v>
      </c>
      <c r="AU15" s="16">
        <v>0</v>
      </c>
      <c r="AV15" s="16">
        <v>3136000</v>
      </c>
      <c r="AW15" s="16" t="s">
        <v>84</v>
      </c>
      <c r="AX15" s="16" t="s">
        <v>85</v>
      </c>
      <c r="AY15" s="17" t="s">
        <v>286</v>
      </c>
      <c r="AZ15" s="17" t="s">
        <v>114</v>
      </c>
      <c r="BA15" s="17">
        <v>500000</v>
      </c>
      <c r="BB15" s="17" t="str">
        <f t="shared" si="6"/>
        <v>Biaya makan</v>
      </c>
      <c r="BC15" s="18" t="s">
        <v>287</v>
      </c>
      <c r="BD15" s="18" t="s">
        <v>116</v>
      </c>
      <c r="BE15" s="18">
        <v>130000</v>
      </c>
      <c r="BF15" s="18" t="s">
        <v>117</v>
      </c>
    </row>
    <row r="16" spans="1:58" x14ac:dyDescent="0.25">
      <c r="A16" s="10" t="s">
        <v>288</v>
      </c>
      <c r="B16" s="10" t="s">
        <v>289</v>
      </c>
      <c r="C16" s="10" t="s">
        <v>290</v>
      </c>
      <c r="D16" s="10" t="s">
        <v>291</v>
      </c>
      <c r="E16" s="10" t="s">
        <v>95</v>
      </c>
      <c r="F16" s="10" t="s">
        <v>292</v>
      </c>
      <c r="G16" s="10" t="s">
        <v>293</v>
      </c>
      <c r="H16" s="10" t="s">
        <v>294</v>
      </c>
      <c r="I16" s="10" t="s">
        <v>60</v>
      </c>
      <c r="J16" s="10" t="s">
        <v>61</v>
      </c>
      <c r="K16" s="10" t="s">
        <v>62</v>
      </c>
      <c r="L16" s="10" t="s">
        <v>63</v>
      </c>
      <c r="M16" s="10" t="s">
        <v>64</v>
      </c>
      <c r="N16" s="10">
        <v>8000000</v>
      </c>
      <c r="O16" s="10">
        <v>15000000</v>
      </c>
      <c r="P16" s="10" t="s">
        <v>65</v>
      </c>
      <c r="Q16" s="10" t="s">
        <v>66</v>
      </c>
      <c r="R16" s="10" t="s">
        <v>67</v>
      </c>
      <c r="S16" s="11" t="s">
        <v>295</v>
      </c>
      <c r="T16" s="11" t="s">
        <v>69</v>
      </c>
      <c r="U16" s="11" t="s">
        <v>294</v>
      </c>
      <c r="V16" s="11" t="s">
        <v>296</v>
      </c>
      <c r="W16" s="11">
        <v>9500000</v>
      </c>
      <c r="X16" s="11" t="s">
        <v>60</v>
      </c>
      <c r="Y16" s="12" t="s">
        <v>297</v>
      </c>
      <c r="Z16" s="12" t="s">
        <v>72</v>
      </c>
      <c r="AA16" s="12" t="s">
        <v>298</v>
      </c>
      <c r="AB16" s="12" t="s">
        <v>290</v>
      </c>
      <c r="AC16" s="12" t="s">
        <v>185</v>
      </c>
      <c r="AD16" s="13" t="s">
        <v>299</v>
      </c>
      <c r="AE16" s="14" t="s">
        <v>76</v>
      </c>
      <c r="AF16" s="13" t="s">
        <v>77</v>
      </c>
      <c r="AG16" s="13" t="s">
        <v>78</v>
      </c>
      <c r="AH16" s="13" t="s">
        <v>79</v>
      </c>
      <c r="AI16" s="13" t="s">
        <v>80</v>
      </c>
      <c r="AJ16" s="15" t="str">
        <f t="shared" si="0"/>
        <v>LBR007</v>
      </c>
      <c r="AK16" s="20">
        <f t="shared" si="1"/>
        <v>45761</v>
      </c>
      <c r="AL16" s="15">
        <f t="shared" si="2"/>
        <v>2</v>
      </c>
      <c r="AM16" s="15" t="str">
        <f t="shared" si="3"/>
        <v>Koordinasi SDM</v>
      </c>
      <c r="AN16" s="15" t="str">
        <f t="shared" si="4"/>
        <v>Approved</v>
      </c>
      <c r="AO16" s="15">
        <f t="shared" si="5"/>
        <v>30000</v>
      </c>
      <c r="AP16" s="16" t="s">
        <v>300</v>
      </c>
      <c r="AQ16" s="16" t="s">
        <v>82</v>
      </c>
      <c r="AR16" s="16" t="s">
        <v>83</v>
      </c>
      <c r="AS16" s="16">
        <v>2400000</v>
      </c>
      <c r="AT16" s="16">
        <v>1235000</v>
      </c>
      <c r="AU16" s="16">
        <v>60000</v>
      </c>
      <c r="AV16" s="16">
        <v>10725000</v>
      </c>
      <c r="AW16" s="16" t="s">
        <v>84</v>
      </c>
      <c r="AX16" s="16" t="s">
        <v>85</v>
      </c>
      <c r="AY16" s="17" t="s">
        <v>301</v>
      </c>
      <c r="AZ16" s="17" t="s">
        <v>141</v>
      </c>
      <c r="BA16" s="17">
        <v>300000</v>
      </c>
      <c r="BB16" s="17" t="str">
        <f t="shared" si="6"/>
        <v>Biaya transport</v>
      </c>
      <c r="BC16" s="18" t="s">
        <v>302</v>
      </c>
      <c r="BD16" s="18" t="s">
        <v>143</v>
      </c>
      <c r="BE16" s="18">
        <v>557500</v>
      </c>
      <c r="BF16" s="18" t="s">
        <v>144</v>
      </c>
    </row>
    <row r="17" spans="1:58" x14ac:dyDescent="0.25">
      <c r="A17" s="10" t="s">
        <v>303</v>
      </c>
      <c r="B17" s="10" t="s">
        <v>304</v>
      </c>
      <c r="C17" s="10" t="s">
        <v>305</v>
      </c>
      <c r="D17" s="10" t="s">
        <v>306</v>
      </c>
      <c r="E17" s="10" t="s">
        <v>56</v>
      </c>
      <c r="F17" s="10" t="s">
        <v>307</v>
      </c>
      <c r="G17" s="10" t="s">
        <v>308</v>
      </c>
      <c r="H17" s="10" t="s">
        <v>309</v>
      </c>
      <c r="I17" s="10" t="s">
        <v>60</v>
      </c>
      <c r="J17" s="10" t="s">
        <v>125</v>
      </c>
      <c r="K17" s="10" t="s">
        <v>175</v>
      </c>
      <c r="L17" s="10" t="s">
        <v>176</v>
      </c>
      <c r="M17" s="10" t="s">
        <v>177</v>
      </c>
      <c r="N17" s="10">
        <v>2500000</v>
      </c>
      <c r="O17" s="10">
        <v>3500000</v>
      </c>
      <c r="P17" s="10" t="s">
        <v>129</v>
      </c>
      <c r="Q17" s="10" t="s">
        <v>130</v>
      </c>
      <c r="R17" s="10" t="s">
        <v>131</v>
      </c>
      <c r="S17" s="11" t="s">
        <v>310</v>
      </c>
      <c r="T17" s="11" t="s">
        <v>311</v>
      </c>
      <c r="U17" s="11" t="s">
        <v>309</v>
      </c>
      <c r="V17" s="11" t="s">
        <v>296</v>
      </c>
      <c r="W17" s="11">
        <v>2500000</v>
      </c>
      <c r="X17" s="11" t="s">
        <v>60</v>
      </c>
      <c r="Y17" s="12" t="s">
        <v>312</v>
      </c>
      <c r="Z17" s="12" t="s">
        <v>109</v>
      </c>
      <c r="AA17" s="12" t="s">
        <v>313</v>
      </c>
      <c r="AB17" s="12" t="s">
        <v>305</v>
      </c>
      <c r="AC17" s="12" t="s">
        <v>74</v>
      </c>
      <c r="AD17" s="13" t="s">
        <v>314</v>
      </c>
      <c r="AE17" s="14" t="s">
        <v>76</v>
      </c>
      <c r="AF17" s="13" t="s">
        <v>77</v>
      </c>
      <c r="AG17" s="13" t="s">
        <v>78</v>
      </c>
      <c r="AH17" s="13" t="s">
        <v>79</v>
      </c>
      <c r="AI17" s="13" t="s">
        <v>80</v>
      </c>
      <c r="AJ17" s="15" t="str">
        <f t="shared" si="0"/>
        <v>-</v>
      </c>
      <c r="AK17" s="20" t="str">
        <f t="shared" si="1"/>
        <v>-</v>
      </c>
      <c r="AL17" s="15" t="str">
        <f t="shared" si="2"/>
        <v>-</v>
      </c>
      <c r="AM17" s="15" t="str">
        <f t="shared" si="3"/>
        <v>-</v>
      </c>
      <c r="AN17" s="15" t="str">
        <f t="shared" si="4"/>
        <v>-</v>
      </c>
      <c r="AO17" s="15" t="str">
        <f t="shared" si="5"/>
        <v>-</v>
      </c>
      <c r="AP17" s="16" t="s">
        <v>315</v>
      </c>
      <c r="AQ17" s="16" t="s">
        <v>82</v>
      </c>
      <c r="AR17" s="16" t="s">
        <v>83</v>
      </c>
      <c r="AS17" s="16">
        <v>625000</v>
      </c>
      <c r="AT17" s="16">
        <v>325000</v>
      </c>
      <c r="AU17" s="16">
        <v>0</v>
      </c>
      <c r="AV17" s="16">
        <v>2800000</v>
      </c>
      <c r="AW17" s="16" t="s">
        <v>84</v>
      </c>
      <c r="AX17" s="16" t="s">
        <v>85</v>
      </c>
      <c r="AY17" s="17" t="s">
        <v>316</v>
      </c>
      <c r="AZ17" s="17" t="s">
        <v>114</v>
      </c>
      <c r="BA17" s="17">
        <v>400000</v>
      </c>
      <c r="BB17" s="17" t="str">
        <f t="shared" si="6"/>
        <v>Biaya makan</v>
      </c>
      <c r="BC17" s="18" t="s">
        <v>317</v>
      </c>
      <c r="BD17" s="18" t="s">
        <v>89</v>
      </c>
      <c r="BE17" s="18">
        <v>70000</v>
      </c>
      <c r="BF17" s="18" t="s">
        <v>90</v>
      </c>
    </row>
    <row r="18" spans="1:58" x14ac:dyDescent="0.25">
      <c r="A18" s="10" t="s">
        <v>318</v>
      </c>
      <c r="B18" s="10" t="s">
        <v>319</v>
      </c>
      <c r="C18" s="10" t="s">
        <v>320</v>
      </c>
      <c r="D18" s="10" t="s">
        <v>321</v>
      </c>
      <c r="E18" s="10" t="s">
        <v>95</v>
      </c>
      <c r="F18" s="10" t="s">
        <v>322</v>
      </c>
      <c r="G18" s="10" t="s">
        <v>323</v>
      </c>
      <c r="H18" s="10" t="s">
        <v>324</v>
      </c>
      <c r="I18" s="10" t="s">
        <v>60</v>
      </c>
      <c r="J18" s="10" t="s">
        <v>99</v>
      </c>
      <c r="K18" s="10" t="s">
        <v>100</v>
      </c>
      <c r="L18" s="10" t="s">
        <v>101</v>
      </c>
      <c r="M18" s="10" t="s">
        <v>102</v>
      </c>
      <c r="N18" s="10">
        <v>3500000</v>
      </c>
      <c r="O18" s="10">
        <v>5500000</v>
      </c>
      <c r="P18" s="10" t="s">
        <v>103</v>
      </c>
      <c r="Q18" s="10" t="s">
        <v>104</v>
      </c>
      <c r="R18" s="10" t="s">
        <v>105</v>
      </c>
      <c r="S18" s="11" t="s">
        <v>325</v>
      </c>
      <c r="T18" s="11" t="s">
        <v>69</v>
      </c>
      <c r="U18" s="11" t="s">
        <v>324</v>
      </c>
      <c r="V18" s="11" t="s">
        <v>326</v>
      </c>
      <c r="W18" s="11">
        <v>4600000</v>
      </c>
      <c r="X18" s="11" t="s">
        <v>60</v>
      </c>
      <c r="Y18" s="12" t="s">
        <v>327</v>
      </c>
      <c r="Z18" s="12" t="s">
        <v>136</v>
      </c>
      <c r="AA18" s="12" t="s">
        <v>328</v>
      </c>
      <c r="AB18" s="12" t="s">
        <v>320</v>
      </c>
      <c r="AC18" s="12" t="s">
        <v>185</v>
      </c>
      <c r="AD18" s="13" t="s">
        <v>329</v>
      </c>
      <c r="AE18" s="14">
        <v>45754</v>
      </c>
      <c r="AF18" s="19">
        <v>0.33333333333333331</v>
      </c>
      <c r="AG18" s="19">
        <v>0.70833333333333337</v>
      </c>
      <c r="AH18" s="13" t="s">
        <v>79</v>
      </c>
      <c r="AI18" s="13" t="s">
        <v>80</v>
      </c>
      <c r="AJ18" s="15" t="str">
        <f t="shared" si="0"/>
        <v>-</v>
      </c>
      <c r="AK18" s="20" t="str">
        <f t="shared" si="1"/>
        <v>-</v>
      </c>
      <c r="AL18" s="15" t="str">
        <f t="shared" si="2"/>
        <v>-</v>
      </c>
      <c r="AM18" s="15" t="str">
        <f t="shared" si="3"/>
        <v>-</v>
      </c>
      <c r="AN18" s="15" t="str">
        <f t="shared" si="4"/>
        <v>-</v>
      </c>
      <c r="AO18" s="15" t="str">
        <f t="shared" si="5"/>
        <v>-</v>
      </c>
      <c r="AP18" s="16" t="s">
        <v>330</v>
      </c>
      <c r="AQ18" s="16" t="s">
        <v>82</v>
      </c>
      <c r="AR18" s="16" t="s">
        <v>83</v>
      </c>
      <c r="AS18" s="16">
        <v>1150000</v>
      </c>
      <c r="AT18" s="16">
        <v>598000</v>
      </c>
      <c r="AU18" s="16">
        <v>0</v>
      </c>
      <c r="AV18" s="16">
        <v>5152000</v>
      </c>
      <c r="AW18" s="16" t="s">
        <v>84</v>
      </c>
      <c r="AX18" s="16" t="s">
        <v>85</v>
      </c>
      <c r="AY18" s="17" t="s">
        <v>331</v>
      </c>
      <c r="AZ18" s="17" t="s">
        <v>141</v>
      </c>
      <c r="BA18" s="17">
        <v>300000</v>
      </c>
      <c r="BB18" s="17" t="str">
        <f t="shared" si="6"/>
        <v>Biaya transport</v>
      </c>
      <c r="BC18" s="18" t="s">
        <v>332</v>
      </c>
      <c r="BD18" s="18" t="s">
        <v>116</v>
      </c>
      <c r="BE18" s="18">
        <v>56000</v>
      </c>
      <c r="BF18" s="18" t="s">
        <v>117</v>
      </c>
    </row>
    <row r="19" spans="1:58" x14ac:dyDescent="0.25">
      <c r="A19" s="10" t="s">
        <v>318</v>
      </c>
      <c r="B19" s="10" t="s">
        <v>319</v>
      </c>
      <c r="C19" s="10" t="s">
        <v>320</v>
      </c>
      <c r="D19" s="10" t="s">
        <v>321</v>
      </c>
      <c r="E19" s="10" t="s">
        <v>95</v>
      </c>
      <c r="F19" s="10" t="s">
        <v>322</v>
      </c>
      <c r="G19" s="10" t="s">
        <v>323</v>
      </c>
      <c r="H19" s="10" t="s">
        <v>324</v>
      </c>
      <c r="I19" s="10" t="s">
        <v>60</v>
      </c>
      <c r="J19" s="10" t="s">
        <v>99</v>
      </c>
      <c r="K19" s="10" t="s">
        <v>100</v>
      </c>
      <c r="L19" s="10" t="s">
        <v>101</v>
      </c>
      <c r="M19" s="10" t="s">
        <v>102</v>
      </c>
      <c r="N19" s="10">
        <v>3500000</v>
      </c>
      <c r="O19" s="10">
        <v>5500000</v>
      </c>
      <c r="P19" s="10" t="s">
        <v>103</v>
      </c>
      <c r="Q19" s="10" t="s">
        <v>104</v>
      </c>
      <c r="R19" s="10" t="s">
        <v>105</v>
      </c>
      <c r="S19" s="11" t="s">
        <v>325</v>
      </c>
      <c r="T19" s="11" t="s">
        <v>69</v>
      </c>
      <c r="U19" s="11" t="s">
        <v>324</v>
      </c>
      <c r="V19" s="11" t="s">
        <v>326</v>
      </c>
      <c r="W19" s="11">
        <v>4600000</v>
      </c>
      <c r="X19" s="11" t="s">
        <v>60</v>
      </c>
      <c r="Y19" s="12" t="s">
        <v>327</v>
      </c>
      <c r="Z19" s="12" t="s">
        <v>136</v>
      </c>
      <c r="AA19" s="12" t="s">
        <v>328</v>
      </c>
      <c r="AB19" s="12" t="s">
        <v>320</v>
      </c>
      <c r="AC19" s="12" t="s">
        <v>185</v>
      </c>
      <c r="AD19" s="13" t="s">
        <v>662</v>
      </c>
      <c r="AE19" s="14">
        <v>45757</v>
      </c>
      <c r="AF19" s="13" t="s">
        <v>80</v>
      </c>
      <c r="AG19" s="13" t="s">
        <v>80</v>
      </c>
      <c r="AH19" s="13" t="s">
        <v>269</v>
      </c>
      <c r="AI19" s="13" t="s">
        <v>595</v>
      </c>
      <c r="AJ19" s="15" t="str">
        <f t="shared" si="0"/>
        <v>-</v>
      </c>
      <c r="AK19" s="20" t="str">
        <f t="shared" si="1"/>
        <v>-</v>
      </c>
      <c r="AL19" s="15" t="str">
        <f t="shared" si="2"/>
        <v>-</v>
      </c>
      <c r="AM19" s="15" t="str">
        <f t="shared" si="3"/>
        <v>-</v>
      </c>
      <c r="AN19" s="15" t="str">
        <f t="shared" si="4"/>
        <v>-</v>
      </c>
      <c r="AO19" s="15" t="str">
        <f t="shared" si="5"/>
        <v>-</v>
      </c>
      <c r="AP19" s="16" t="s">
        <v>330</v>
      </c>
      <c r="AQ19" s="16" t="s">
        <v>82</v>
      </c>
      <c r="AR19" s="16" t="s">
        <v>83</v>
      </c>
      <c r="AS19" s="16">
        <v>1150000</v>
      </c>
      <c r="AT19" s="16">
        <v>598000</v>
      </c>
      <c r="AU19" s="16">
        <v>0</v>
      </c>
      <c r="AV19" s="16">
        <v>5152000</v>
      </c>
      <c r="AW19" s="16" t="s">
        <v>84</v>
      </c>
      <c r="AX19" s="16" t="s">
        <v>85</v>
      </c>
      <c r="AY19" s="17" t="s">
        <v>331</v>
      </c>
      <c r="AZ19" s="17" t="s">
        <v>141</v>
      </c>
      <c r="BA19" s="17">
        <v>300000</v>
      </c>
      <c r="BB19" s="17" t="str">
        <f t="shared" si="6"/>
        <v>Biaya transport</v>
      </c>
      <c r="BC19" s="18" t="s">
        <v>332</v>
      </c>
      <c r="BD19" s="18" t="s">
        <v>116</v>
      </c>
      <c r="BE19" s="18">
        <v>56000</v>
      </c>
      <c r="BF19" s="18" t="s">
        <v>117</v>
      </c>
    </row>
    <row r="20" spans="1:58" x14ac:dyDescent="0.25">
      <c r="A20" s="10" t="s">
        <v>333</v>
      </c>
      <c r="B20" s="10" t="s">
        <v>334</v>
      </c>
      <c r="C20" s="10" t="s">
        <v>335</v>
      </c>
      <c r="D20" s="10" t="s">
        <v>336</v>
      </c>
      <c r="E20" s="10" t="s">
        <v>56</v>
      </c>
      <c r="F20" s="10" t="s">
        <v>337</v>
      </c>
      <c r="G20" s="10" t="s">
        <v>338</v>
      </c>
      <c r="H20" s="10" t="s">
        <v>339</v>
      </c>
      <c r="I20" s="10" t="s">
        <v>60</v>
      </c>
      <c r="J20" s="10" t="s">
        <v>152</v>
      </c>
      <c r="K20" s="10" t="s">
        <v>175</v>
      </c>
      <c r="L20" s="10" t="s">
        <v>176</v>
      </c>
      <c r="M20" s="10" t="s">
        <v>177</v>
      </c>
      <c r="N20" s="10">
        <v>2500000</v>
      </c>
      <c r="O20" s="10">
        <v>3500000</v>
      </c>
      <c r="P20" s="10" t="s">
        <v>155</v>
      </c>
      <c r="Q20" s="10" t="s">
        <v>156</v>
      </c>
      <c r="R20" s="10" t="s">
        <v>157</v>
      </c>
      <c r="S20" s="11" t="s">
        <v>340</v>
      </c>
      <c r="T20" s="11" t="s">
        <v>133</v>
      </c>
      <c r="U20" s="11" t="s">
        <v>339</v>
      </c>
      <c r="V20" s="11" t="s">
        <v>341</v>
      </c>
      <c r="W20" s="11">
        <v>2800000</v>
      </c>
      <c r="X20" s="11" t="s">
        <v>60</v>
      </c>
      <c r="Y20" s="12" t="s">
        <v>342</v>
      </c>
      <c r="Z20" s="12" t="s">
        <v>161</v>
      </c>
      <c r="AA20" s="12" t="s">
        <v>343</v>
      </c>
      <c r="AB20" s="12" t="s">
        <v>335</v>
      </c>
      <c r="AC20" s="12" t="s">
        <v>185</v>
      </c>
      <c r="AD20" s="13" t="s">
        <v>344</v>
      </c>
      <c r="AE20" s="14" t="s">
        <v>76</v>
      </c>
      <c r="AF20" s="13" t="s">
        <v>77</v>
      </c>
      <c r="AG20" s="13" t="s">
        <v>78</v>
      </c>
      <c r="AH20" s="13" t="s">
        <v>79</v>
      </c>
      <c r="AI20" s="13" t="s">
        <v>80</v>
      </c>
      <c r="AJ20" s="15" t="str">
        <f t="shared" si="0"/>
        <v>-</v>
      </c>
      <c r="AK20" s="20" t="str">
        <f t="shared" si="1"/>
        <v>-</v>
      </c>
      <c r="AL20" s="15" t="str">
        <f t="shared" si="2"/>
        <v>-</v>
      </c>
      <c r="AM20" s="15" t="str">
        <f t="shared" si="3"/>
        <v>-</v>
      </c>
      <c r="AN20" s="15" t="str">
        <f t="shared" si="4"/>
        <v>-</v>
      </c>
      <c r="AO20" s="15" t="str">
        <f t="shared" si="5"/>
        <v>-</v>
      </c>
      <c r="AP20" s="16" t="s">
        <v>345</v>
      </c>
      <c r="AQ20" s="16" t="s">
        <v>82</v>
      </c>
      <c r="AR20" s="16" t="s">
        <v>83</v>
      </c>
      <c r="AS20" s="16">
        <v>700000</v>
      </c>
      <c r="AT20" s="16">
        <v>364000</v>
      </c>
      <c r="AU20" s="16">
        <v>0</v>
      </c>
      <c r="AV20" s="16">
        <v>3136000</v>
      </c>
      <c r="AW20" s="16" t="s">
        <v>84</v>
      </c>
      <c r="AX20" s="16" t="s">
        <v>85</v>
      </c>
      <c r="AY20" s="17" t="s">
        <v>346</v>
      </c>
      <c r="AZ20" s="17" t="s">
        <v>87</v>
      </c>
      <c r="BA20" s="17" t="str">
        <f>"700000"</f>
        <v>700000</v>
      </c>
      <c r="BB20" s="17" t="str">
        <f t="shared" si="6"/>
        <v>Sesuai jabatan</v>
      </c>
      <c r="BC20" s="18" t="s">
        <v>347</v>
      </c>
      <c r="BD20" s="18" t="s">
        <v>143</v>
      </c>
      <c r="BE20" s="18">
        <v>238000</v>
      </c>
      <c r="BF20" s="18" t="s">
        <v>144</v>
      </c>
    </row>
    <row r="21" spans="1:58" x14ac:dyDescent="0.25">
      <c r="A21" s="10" t="s">
        <v>333</v>
      </c>
      <c r="B21" s="10" t="s">
        <v>334</v>
      </c>
      <c r="C21" s="10" t="s">
        <v>335</v>
      </c>
      <c r="D21" s="10" t="s">
        <v>336</v>
      </c>
      <c r="E21" s="10" t="s">
        <v>56</v>
      </c>
      <c r="F21" s="10" t="s">
        <v>337</v>
      </c>
      <c r="G21" s="10" t="s">
        <v>338</v>
      </c>
      <c r="H21" s="10" t="s">
        <v>339</v>
      </c>
      <c r="I21" s="10" t="s">
        <v>60</v>
      </c>
      <c r="J21" s="10" t="s">
        <v>152</v>
      </c>
      <c r="K21" s="10" t="s">
        <v>175</v>
      </c>
      <c r="L21" s="10" t="s">
        <v>176</v>
      </c>
      <c r="M21" s="10" t="s">
        <v>177</v>
      </c>
      <c r="N21" s="10">
        <v>2500000</v>
      </c>
      <c r="O21" s="10">
        <v>3500000</v>
      </c>
      <c r="P21" s="10" t="s">
        <v>155</v>
      </c>
      <c r="Q21" s="10" t="s">
        <v>156</v>
      </c>
      <c r="R21" s="10" t="s">
        <v>157</v>
      </c>
      <c r="S21" s="11" t="s">
        <v>340</v>
      </c>
      <c r="T21" s="11" t="s">
        <v>133</v>
      </c>
      <c r="U21" s="11" t="s">
        <v>339</v>
      </c>
      <c r="V21" s="11" t="s">
        <v>341</v>
      </c>
      <c r="W21" s="11">
        <v>2800000</v>
      </c>
      <c r="X21" s="11" t="s">
        <v>60</v>
      </c>
      <c r="Y21" s="12" t="s">
        <v>342</v>
      </c>
      <c r="Z21" s="12" t="s">
        <v>161</v>
      </c>
      <c r="AA21" s="12" t="s">
        <v>343</v>
      </c>
      <c r="AB21" s="12" t="s">
        <v>335</v>
      </c>
      <c r="AC21" s="12" t="s">
        <v>185</v>
      </c>
      <c r="AD21" s="13" t="s">
        <v>344</v>
      </c>
      <c r="AE21" s="14" t="s">
        <v>76</v>
      </c>
      <c r="AF21" s="13" t="s">
        <v>77</v>
      </c>
      <c r="AG21" s="13" t="s">
        <v>78</v>
      </c>
      <c r="AH21" s="13" t="s">
        <v>79</v>
      </c>
      <c r="AI21" s="13" t="s">
        <v>80</v>
      </c>
      <c r="AJ21" s="15" t="str">
        <f t="shared" si="0"/>
        <v>-</v>
      </c>
      <c r="AK21" s="20" t="str">
        <f t="shared" si="1"/>
        <v>-</v>
      </c>
      <c r="AL21" s="15" t="str">
        <f t="shared" si="2"/>
        <v>-</v>
      </c>
      <c r="AM21" s="15" t="str">
        <f t="shared" si="3"/>
        <v>-</v>
      </c>
      <c r="AN21" s="15" t="str">
        <f t="shared" si="4"/>
        <v>-</v>
      </c>
      <c r="AO21" s="15" t="str">
        <f t="shared" si="5"/>
        <v>-</v>
      </c>
      <c r="AP21" s="16" t="s">
        <v>345</v>
      </c>
      <c r="AQ21" s="16" t="s">
        <v>82</v>
      </c>
      <c r="AR21" s="16" t="s">
        <v>83</v>
      </c>
      <c r="AS21" s="16">
        <v>700000</v>
      </c>
      <c r="AT21" s="16">
        <v>364000</v>
      </c>
      <c r="AU21" s="16">
        <v>0</v>
      </c>
      <c r="AV21" s="16">
        <v>3136000</v>
      </c>
      <c r="AW21" s="16" t="s">
        <v>84</v>
      </c>
      <c r="AX21" s="16" t="s">
        <v>85</v>
      </c>
      <c r="AY21" s="17" t="s">
        <v>665</v>
      </c>
      <c r="AZ21" s="17" t="s">
        <v>114</v>
      </c>
      <c r="BA21" s="17" t="str">
        <f>"400000"</f>
        <v>400000</v>
      </c>
      <c r="BB21" s="17" t="str">
        <f t="shared" si="6"/>
        <v>Biaya makan</v>
      </c>
      <c r="BC21" s="18" t="s">
        <v>347</v>
      </c>
      <c r="BD21" s="18" t="s">
        <v>143</v>
      </c>
      <c r="BE21" s="18">
        <v>238000</v>
      </c>
      <c r="BF21" s="18" t="s">
        <v>144</v>
      </c>
    </row>
    <row r="22" spans="1:58" x14ac:dyDescent="0.25">
      <c r="A22" s="10" t="s">
        <v>348</v>
      </c>
      <c r="B22" s="10" t="s">
        <v>349</v>
      </c>
      <c r="C22" s="10" t="s">
        <v>350</v>
      </c>
      <c r="D22" s="10" t="s">
        <v>351</v>
      </c>
      <c r="E22" s="10" t="s">
        <v>95</v>
      </c>
      <c r="F22" s="10" t="s">
        <v>352</v>
      </c>
      <c r="G22" s="10" t="s">
        <v>353</v>
      </c>
      <c r="H22" s="10" t="s">
        <v>354</v>
      </c>
      <c r="I22" s="10" t="s">
        <v>60</v>
      </c>
      <c r="J22" s="10" t="s">
        <v>61</v>
      </c>
      <c r="K22" s="10" t="s">
        <v>355</v>
      </c>
      <c r="L22" s="10" t="s">
        <v>356</v>
      </c>
      <c r="M22" s="10" t="s">
        <v>357</v>
      </c>
      <c r="N22" s="10">
        <v>15000000</v>
      </c>
      <c r="O22" s="10">
        <v>25000000</v>
      </c>
      <c r="P22" s="10" t="s">
        <v>65</v>
      </c>
      <c r="Q22" s="10" t="s">
        <v>66</v>
      </c>
      <c r="R22" s="10" t="s">
        <v>67</v>
      </c>
      <c r="S22" s="11" t="s">
        <v>358</v>
      </c>
      <c r="T22" s="11" t="s">
        <v>69</v>
      </c>
      <c r="U22" s="11" t="s">
        <v>354</v>
      </c>
      <c r="V22" s="11" t="s">
        <v>359</v>
      </c>
      <c r="W22" s="11">
        <v>20000000</v>
      </c>
      <c r="X22" s="11" t="s">
        <v>60</v>
      </c>
      <c r="Y22" s="12" t="s">
        <v>360</v>
      </c>
      <c r="Z22" s="12" t="s">
        <v>109</v>
      </c>
      <c r="AA22" s="12" t="s">
        <v>361</v>
      </c>
      <c r="AB22" s="12" t="s">
        <v>350</v>
      </c>
      <c r="AC22" s="12" t="s">
        <v>74</v>
      </c>
      <c r="AD22" s="13" t="s">
        <v>362</v>
      </c>
      <c r="AE22" s="14" t="s">
        <v>76</v>
      </c>
      <c r="AF22" s="13" t="s">
        <v>77</v>
      </c>
      <c r="AG22" s="13" t="s">
        <v>78</v>
      </c>
      <c r="AH22" s="13" t="s">
        <v>79</v>
      </c>
      <c r="AI22" s="13" t="s">
        <v>80</v>
      </c>
      <c r="AJ22" s="15" t="str">
        <f t="shared" si="0"/>
        <v>-</v>
      </c>
      <c r="AK22" s="20" t="str">
        <f t="shared" si="1"/>
        <v>-</v>
      </c>
      <c r="AL22" s="15" t="str">
        <f t="shared" si="2"/>
        <v>-</v>
      </c>
      <c r="AM22" s="15" t="str">
        <f t="shared" si="3"/>
        <v>-</v>
      </c>
      <c r="AN22" s="15" t="str">
        <f t="shared" si="4"/>
        <v>-</v>
      </c>
      <c r="AO22" s="15" t="str">
        <f t="shared" si="5"/>
        <v>-</v>
      </c>
      <c r="AP22" s="16" t="s">
        <v>363</v>
      </c>
      <c r="AQ22" s="16" t="s">
        <v>82</v>
      </c>
      <c r="AR22" s="16" t="s">
        <v>83</v>
      </c>
      <c r="AS22" s="16">
        <v>5000000</v>
      </c>
      <c r="AT22" s="16">
        <v>2600000</v>
      </c>
      <c r="AU22" s="16">
        <v>0</v>
      </c>
      <c r="AV22" s="16">
        <v>22400000</v>
      </c>
      <c r="AW22" s="16" t="s">
        <v>84</v>
      </c>
      <c r="AX22" s="16" t="s">
        <v>85</v>
      </c>
      <c r="AY22" s="17" t="s">
        <v>364</v>
      </c>
      <c r="AZ22" s="17" t="s">
        <v>114</v>
      </c>
      <c r="BA22" s="17">
        <v>400000</v>
      </c>
      <c r="BB22" s="17" t="str">
        <f t="shared" si="6"/>
        <v>Biaya makan</v>
      </c>
      <c r="BC22" s="18" t="s">
        <v>365</v>
      </c>
      <c r="BD22" s="18" t="s">
        <v>89</v>
      </c>
      <c r="BE22" s="18">
        <v>137500</v>
      </c>
      <c r="BF22" s="18" t="s">
        <v>90</v>
      </c>
    </row>
    <row r="23" spans="1:58" x14ac:dyDescent="0.25">
      <c r="A23" s="10" t="s">
        <v>366</v>
      </c>
      <c r="B23" s="10" t="s">
        <v>367</v>
      </c>
      <c r="C23" s="10" t="s">
        <v>368</v>
      </c>
      <c r="D23" s="10" t="s">
        <v>369</v>
      </c>
      <c r="E23" s="10" t="s">
        <v>56</v>
      </c>
      <c r="F23" s="10" t="s">
        <v>370</v>
      </c>
      <c r="G23" s="10" t="s">
        <v>371</v>
      </c>
      <c r="H23" s="10" t="s">
        <v>372</v>
      </c>
      <c r="I23" s="10" t="s">
        <v>60</v>
      </c>
      <c r="J23" s="10" t="s">
        <v>174</v>
      </c>
      <c r="K23" s="10" t="s">
        <v>175</v>
      </c>
      <c r="L23" s="10" t="s">
        <v>176</v>
      </c>
      <c r="M23" s="10" t="s">
        <v>177</v>
      </c>
      <c r="N23" s="10">
        <v>2500000</v>
      </c>
      <c r="O23" s="10">
        <v>3500000</v>
      </c>
      <c r="P23" s="10" t="s">
        <v>178</v>
      </c>
      <c r="Q23" s="10" t="s">
        <v>179</v>
      </c>
      <c r="R23" s="10" t="s">
        <v>180</v>
      </c>
      <c r="S23" s="11" t="s">
        <v>373</v>
      </c>
      <c r="T23" s="11" t="s">
        <v>311</v>
      </c>
      <c r="U23" s="11" t="s">
        <v>372</v>
      </c>
      <c r="V23" s="11" t="s">
        <v>374</v>
      </c>
      <c r="W23" s="11">
        <v>2500000</v>
      </c>
      <c r="X23" s="11" t="s">
        <v>60</v>
      </c>
      <c r="Y23" s="12" t="s">
        <v>375</v>
      </c>
      <c r="Z23" s="12" t="s">
        <v>72</v>
      </c>
      <c r="AA23" s="12" t="s">
        <v>376</v>
      </c>
      <c r="AB23" s="12" t="s">
        <v>368</v>
      </c>
      <c r="AC23" s="12" t="s">
        <v>185</v>
      </c>
      <c r="AD23" s="13" t="s">
        <v>377</v>
      </c>
      <c r="AE23" s="14" t="s">
        <v>76</v>
      </c>
      <c r="AF23" s="13" t="s">
        <v>77</v>
      </c>
      <c r="AG23" s="13" t="s">
        <v>78</v>
      </c>
      <c r="AH23" s="13" t="s">
        <v>79</v>
      </c>
      <c r="AI23" s="13" t="s">
        <v>80</v>
      </c>
      <c r="AJ23" s="15" t="str">
        <f t="shared" si="0"/>
        <v>-</v>
      </c>
      <c r="AK23" s="20" t="str">
        <f t="shared" si="1"/>
        <v>-</v>
      </c>
      <c r="AL23" s="15" t="str">
        <f t="shared" si="2"/>
        <v>-</v>
      </c>
      <c r="AM23" s="15" t="str">
        <f t="shared" si="3"/>
        <v>-</v>
      </c>
      <c r="AN23" s="15" t="str">
        <f t="shared" si="4"/>
        <v>-</v>
      </c>
      <c r="AO23" s="15" t="str">
        <f t="shared" si="5"/>
        <v>-</v>
      </c>
      <c r="AP23" s="16" t="s">
        <v>378</v>
      </c>
      <c r="AQ23" s="16" t="s">
        <v>82</v>
      </c>
      <c r="AR23" s="16" t="s">
        <v>83</v>
      </c>
      <c r="AS23" s="16">
        <v>625000</v>
      </c>
      <c r="AT23" s="16">
        <v>325000</v>
      </c>
      <c r="AU23" s="16">
        <v>0</v>
      </c>
      <c r="AV23" s="16">
        <v>2800000</v>
      </c>
      <c r="AW23" s="16" t="s">
        <v>84</v>
      </c>
      <c r="AX23" s="16" t="s">
        <v>85</v>
      </c>
      <c r="AY23" s="17" t="s">
        <v>379</v>
      </c>
      <c r="AZ23" s="17" t="s">
        <v>141</v>
      </c>
      <c r="BA23" s="17">
        <v>300000</v>
      </c>
      <c r="BB23" s="17" t="str">
        <f t="shared" si="6"/>
        <v>Biaya transport</v>
      </c>
      <c r="BC23" s="18" t="s">
        <v>380</v>
      </c>
      <c r="BD23" s="18" t="s">
        <v>116</v>
      </c>
      <c r="BE23" s="18">
        <v>110000</v>
      </c>
      <c r="BF23" s="18" t="s">
        <v>117</v>
      </c>
    </row>
    <row r="24" spans="1:58" x14ac:dyDescent="0.25">
      <c r="A24" s="10" t="s">
        <v>381</v>
      </c>
      <c r="B24" s="10" t="s">
        <v>382</v>
      </c>
      <c r="C24" s="10" t="s">
        <v>383</v>
      </c>
      <c r="D24" s="10" t="s">
        <v>384</v>
      </c>
      <c r="E24" s="10" t="s">
        <v>95</v>
      </c>
      <c r="F24" s="10" t="s">
        <v>385</v>
      </c>
      <c r="G24" s="10" t="s">
        <v>386</v>
      </c>
      <c r="H24" s="10" t="s">
        <v>387</v>
      </c>
      <c r="I24" s="10" t="s">
        <v>60</v>
      </c>
      <c r="J24" s="10" t="s">
        <v>99</v>
      </c>
      <c r="K24" s="10" t="s">
        <v>153</v>
      </c>
      <c r="L24" s="10" t="s">
        <v>154</v>
      </c>
      <c r="M24" s="10" t="s">
        <v>128</v>
      </c>
      <c r="N24" s="10">
        <v>5000000</v>
      </c>
      <c r="O24" s="10">
        <v>8000000</v>
      </c>
      <c r="P24" s="10" t="s">
        <v>103</v>
      </c>
      <c r="Q24" s="10" t="s">
        <v>104</v>
      </c>
      <c r="R24" s="10" t="s">
        <v>105</v>
      </c>
      <c r="S24" s="11" t="s">
        <v>388</v>
      </c>
      <c r="T24" s="11" t="s">
        <v>69</v>
      </c>
      <c r="U24" s="11" t="s">
        <v>387</v>
      </c>
      <c r="V24" s="11" t="s">
        <v>389</v>
      </c>
      <c r="W24" s="11">
        <v>5600000</v>
      </c>
      <c r="X24" s="11" t="s">
        <v>60</v>
      </c>
      <c r="Y24" s="12" t="s">
        <v>390</v>
      </c>
      <c r="Z24" s="12" t="s">
        <v>200</v>
      </c>
      <c r="AA24" s="12" t="s">
        <v>391</v>
      </c>
      <c r="AB24" s="12" t="s">
        <v>383</v>
      </c>
      <c r="AC24" s="12" t="s">
        <v>74</v>
      </c>
      <c r="AD24" s="13" t="s">
        <v>392</v>
      </c>
      <c r="AE24" s="14" t="s">
        <v>76</v>
      </c>
      <c r="AF24" s="13" t="s">
        <v>80</v>
      </c>
      <c r="AG24" s="13" t="s">
        <v>80</v>
      </c>
      <c r="AH24" s="13" t="s">
        <v>393</v>
      </c>
      <c r="AI24" s="13" t="s">
        <v>587</v>
      </c>
      <c r="AJ24" s="15" t="str">
        <f t="shared" si="0"/>
        <v>LBR008</v>
      </c>
      <c r="AK24" s="20">
        <f t="shared" si="1"/>
        <v>45762</v>
      </c>
      <c r="AL24" s="15">
        <f t="shared" si="2"/>
        <v>3</v>
      </c>
      <c r="AM24" s="15" t="str">
        <f t="shared" si="3"/>
        <v>Rekonsiliasi data</v>
      </c>
      <c r="AN24" s="15" t="str">
        <f t="shared" si="4"/>
        <v>Approved</v>
      </c>
      <c r="AO24" s="15">
        <f t="shared" si="5"/>
        <v>22000</v>
      </c>
      <c r="AP24" s="16" t="s">
        <v>394</v>
      </c>
      <c r="AQ24" s="16" t="s">
        <v>82</v>
      </c>
      <c r="AR24" s="16" t="s">
        <v>83</v>
      </c>
      <c r="AS24" s="16">
        <v>1400000</v>
      </c>
      <c r="AT24" s="16">
        <v>728000</v>
      </c>
      <c r="AU24" s="16">
        <v>66000</v>
      </c>
      <c r="AV24" s="16">
        <v>6338000</v>
      </c>
      <c r="AW24" s="16" t="s">
        <v>84</v>
      </c>
      <c r="AX24" s="16" t="s">
        <v>85</v>
      </c>
      <c r="AY24" s="17" t="s">
        <v>395</v>
      </c>
      <c r="AZ24" s="17" t="s">
        <v>87</v>
      </c>
      <c r="BA24" s="17">
        <v>3500000</v>
      </c>
      <c r="BB24" s="17" t="str">
        <f t="shared" si="6"/>
        <v>Sesuai jabatan</v>
      </c>
      <c r="BC24" s="18" t="s">
        <v>396</v>
      </c>
      <c r="BD24" s="18" t="s">
        <v>143</v>
      </c>
      <c r="BE24" s="18">
        <v>467500</v>
      </c>
      <c r="BF24" s="18" t="s">
        <v>144</v>
      </c>
    </row>
    <row r="25" spans="1:58" x14ac:dyDescent="0.25">
      <c r="A25" s="10" t="s">
        <v>397</v>
      </c>
      <c r="B25" s="10" t="s">
        <v>398</v>
      </c>
      <c r="C25" s="10" t="s">
        <v>399</v>
      </c>
      <c r="D25" s="10" t="s">
        <v>400</v>
      </c>
      <c r="E25" s="10" t="s">
        <v>56</v>
      </c>
      <c r="F25" s="10" t="s">
        <v>401</v>
      </c>
      <c r="G25" s="10" t="s">
        <v>402</v>
      </c>
      <c r="H25" s="10" t="s">
        <v>403</v>
      </c>
      <c r="I25" s="10" t="s">
        <v>60</v>
      </c>
      <c r="J25" s="10" t="s">
        <v>125</v>
      </c>
      <c r="K25" s="10" t="s">
        <v>247</v>
      </c>
      <c r="L25" s="10" t="s">
        <v>248</v>
      </c>
      <c r="M25" s="10" t="s">
        <v>128</v>
      </c>
      <c r="N25" s="10">
        <v>5000000</v>
      </c>
      <c r="O25" s="10">
        <v>8500000</v>
      </c>
      <c r="P25" s="10" t="s">
        <v>129</v>
      </c>
      <c r="Q25" s="10" t="s">
        <v>130</v>
      </c>
      <c r="R25" s="10" t="s">
        <v>131</v>
      </c>
      <c r="S25" s="11" t="s">
        <v>404</v>
      </c>
      <c r="T25" s="11" t="s">
        <v>133</v>
      </c>
      <c r="U25" s="11" t="s">
        <v>403</v>
      </c>
      <c r="V25" s="11" t="s">
        <v>405</v>
      </c>
      <c r="W25" s="11">
        <v>5700000</v>
      </c>
      <c r="X25" s="11" t="s">
        <v>60</v>
      </c>
      <c r="Y25" s="12" t="s">
        <v>406</v>
      </c>
      <c r="Z25" s="12" t="s">
        <v>136</v>
      </c>
      <c r="AA25" s="12" t="s">
        <v>407</v>
      </c>
      <c r="AB25" s="12" t="s">
        <v>399</v>
      </c>
      <c r="AC25" s="12" t="s">
        <v>185</v>
      </c>
      <c r="AD25" s="13" t="s">
        <v>408</v>
      </c>
      <c r="AE25" s="14" t="s">
        <v>76</v>
      </c>
      <c r="AF25" s="13" t="s">
        <v>77</v>
      </c>
      <c r="AG25" s="13" t="s">
        <v>78</v>
      </c>
      <c r="AH25" s="13" t="s">
        <v>79</v>
      </c>
      <c r="AI25" s="13" t="s">
        <v>80</v>
      </c>
      <c r="AJ25" s="15" t="str">
        <f t="shared" si="0"/>
        <v>LBR009</v>
      </c>
      <c r="AK25" s="20">
        <f t="shared" si="1"/>
        <v>45763</v>
      </c>
      <c r="AL25" s="15">
        <f t="shared" si="2"/>
        <v>4</v>
      </c>
      <c r="AM25" s="15" t="str">
        <f t="shared" si="3"/>
        <v>Pengembangan sistem</v>
      </c>
      <c r="AN25" s="15" t="str">
        <f t="shared" si="4"/>
        <v>Approved</v>
      </c>
      <c r="AO25" s="15">
        <f t="shared" si="5"/>
        <v>27500</v>
      </c>
      <c r="AP25" s="16" t="s">
        <v>409</v>
      </c>
      <c r="AQ25" s="16" t="s">
        <v>82</v>
      </c>
      <c r="AR25" s="16" t="s">
        <v>83</v>
      </c>
      <c r="AS25" s="16">
        <v>1425000</v>
      </c>
      <c r="AT25" s="16">
        <v>741000</v>
      </c>
      <c r="AU25" s="16">
        <v>110000</v>
      </c>
      <c r="AV25" s="16">
        <v>6494000</v>
      </c>
      <c r="AW25" s="16" t="s">
        <v>84</v>
      </c>
      <c r="AX25" s="16" t="s">
        <v>85</v>
      </c>
      <c r="AY25" s="17" t="s">
        <v>410</v>
      </c>
      <c r="AZ25" s="17" t="s">
        <v>114</v>
      </c>
      <c r="BA25" s="17">
        <v>800000</v>
      </c>
      <c r="BB25" s="17" t="str">
        <f t="shared" si="6"/>
        <v>Biaya makan</v>
      </c>
      <c r="BC25" s="18" t="s">
        <v>411</v>
      </c>
      <c r="BD25" s="18" t="s">
        <v>89</v>
      </c>
      <c r="BE25" s="18">
        <v>500000</v>
      </c>
      <c r="BF25" s="18" t="s">
        <v>90</v>
      </c>
    </row>
    <row r="26" spans="1:58" x14ac:dyDescent="0.25">
      <c r="A26" s="10" t="s">
        <v>412</v>
      </c>
      <c r="B26" s="10" t="s">
        <v>413</v>
      </c>
      <c r="C26" s="10" t="s">
        <v>414</v>
      </c>
      <c r="D26" s="10" t="s">
        <v>415</v>
      </c>
      <c r="E26" s="10" t="s">
        <v>95</v>
      </c>
      <c r="F26" s="10" t="s">
        <v>416</v>
      </c>
      <c r="G26" s="10" t="s">
        <v>417</v>
      </c>
      <c r="H26" s="10" t="s">
        <v>418</v>
      </c>
      <c r="I26" s="10" t="s">
        <v>60</v>
      </c>
      <c r="J26" s="10" t="s">
        <v>152</v>
      </c>
      <c r="K26" s="10" t="s">
        <v>153</v>
      </c>
      <c r="L26" s="10" t="s">
        <v>154</v>
      </c>
      <c r="M26" s="10" t="s">
        <v>128</v>
      </c>
      <c r="N26" s="10">
        <v>5000000</v>
      </c>
      <c r="O26" s="10">
        <v>8000000</v>
      </c>
      <c r="P26" s="10" t="s">
        <v>155</v>
      </c>
      <c r="Q26" s="10" t="s">
        <v>156</v>
      </c>
      <c r="R26" s="10" t="s">
        <v>157</v>
      </c>
      <c r="S26" s="11" t="s">
        <v>419</v>
      </c>
      <c r="T26" s="11" t="s">
        <v>69</v>
      </c>
      <c r="U26" s="11" t="s">
        <v>418</v>
      </c>
      <c r="V26" s="11" t="s">
        <v>420</v>
      </c>
      <c r="W26" s="11">
        <v>6200000</v>
      </c>
      <c r="X26" s="11" t="s">
        <v>60</v>
      </c>
      <c r="Y26" s="12" t="s">
        <v>421</v>
      </c>
      <c r="Z26" s="12" t="s">
        <v>161</v>
      </c>
      <c r="AA26" s="12" t="s">
        <v>422</v>
      </c>
      <c r="AB26" s="12" t="s">
        <v>414</v>
      </c>
      <c r="AC26" s="12" t="s">
        <v>185</v>
      </c>
      <c r="AD26" s="13" t="s">
        <v>423</v>
      </c>
      <c r="AE26" s="14" t="s">
        <v>76</v>
      </c>
      <c r="AF26" s="13" t="s">
        <v>77</v>
      </c>
      <c r="AG26" s="13" t="s">
        <v>78</v>
      </c>
      <c r="AH26" s="13" t="s">
        <v>79</v>
      </c>
      <c r="AI26" s="13" t="s">
        <v>80</v>
      </c>
      <c r="AJ26" s="15" t="str">
        <f t="shared" si="0"/>
        <v>LBR010</v>
      </c>
      <c r="AK26" s="20">
        <f t="shared" si="1"/>
        <v>45764</v>
      </c>
      <c r="AL26" s="15">
        <f t="shared" si="2"/>
        <v>2</v>
      </c>
      <c r="AM26" s="15" t="str">
        <f t="shared" si="3"/>
        <v>Pameran produk</v>
      </c>
      <c r="AN26" s="15" t="str">
        <f t="shared" si="4"/>
        <v>Approved</v>
      </c>
      <c r="AO26" s="15">
        <f t="shared" si="5"/>
        <v>23000</v>
      </c>
      <c r="AP26" s="16" t="s">
        <v>424</v>
      </c>
      <c r="AQ26" s="16" t="s">
        <v>82</v>
      </c>
      <c r="AR26" s="16" t="s">
        <v>83</v>
      </c>
      <c r="AS26" s="16">
        <v>1550000</v>
      </c>
      <c r="AT26" s="16">
        <v>806000</v>
      </c>
      <c r="AU26" s="16">
        <v>46000</v>
      </c>
      <c r="AV26" s="16">
        <v>6990000</v>
      </c>
      <c r="AW26" s="16" t="s">
        <v>84</v>
      </c>
      <c r="AX26" s="16" t="s">
        <v>85</v>
      </c>
      <c r="AY26" s="17" t="s">
        <v>425</v>
      </c>
      <c r="AZ26" s="17" t="s">
        <v>141</v>
      </c>
      <c r="BA26" s="17">
        <v>700000</v>
      </c>
      <c r="BB26" s="17" t="str">
        <f t="shared" si="6"/>
        <v>Biaya transport</v>
      </c>
      <c r="BC26" s="18" t="s">
        <v>426</v>
      </c>
      <c r="BD26" s="18" t="s">
        <v>116</v>
      </c>
      <c r="BE26" s="18">
        <v>400000</v>
      </c>
      <c r="BF26" s="18" t="s">
        <v>117</v>
      </c>
    </row>
    <row r="27" spans="1:58" x14ac:dyDescent="0.25">
      <c r="A27" s="10" t="s">
        <v>427</v>
      </c>
      <c r="B27" s="10" t="s">
        <v>428</v>
      </c>
      <c r="C27" s="10" t="s">
        <v>429</v>
      </c>
      <c r="D27" s="10" t="s">
        <v>430</v>
      </c>
      <c r="E27" s="10" t="s">
        <v>56</v>
      </c>
      <c r="F27" s="10" t="s">
        <v>431</v>
      </c>
      <c r="G27" s="10" t="s">
        <v>432</v>
      </c>
      <c r="H27" s="10" t="s">
        <v>433</v>
      </c>
      <c r="I27" s="10" t="s">
        <v>60</v>
      </c>
      <c r="J27" s="10" t="s">
        <v>174</v>
      </c>
      <c r="K27" s="10" t="s">
        <v>100</v>
      </c>
      <c r="L27" s="10" t="s">
        <v>101</v>
      </c>
      <c r="M27" s="10" t="s">
        <v>102</v>
      </c>
      <c r="N27" s="10">
        <v>3500000</v>
      </c>
      <c r="O27" s="10">
        <v>5500000</v>
      </c>
      <c r="P27" s="10" t="s">
        <v>178</v>
      </c>
      <c r="Q27" s="10" t="s">
        <v>179</v>
      </c>
      <c r="R27" s="10" t="s">
        <v>180</v>
      </c>
      <c r="S27" s="11" t="s">
        <v>434</v>
      </c>
      <c r="T27" s="11" t="s">
        <v>69</v>
      </c>
      <c r="U27" s="11" t="s">
        <v>433</v>
      </c>
      <c r="V27" s="11" t="s">
        <v>435</v>
      </c>
      <c r="W27" s="11">
        <v>4700000</v>
      </c>
      <c r="X27" s="11" t="s">
        <v>60</v>
      </c>
      <c r="Y27" s="12" t="s">
        <v>436</v>
      </c>
      <c r="Z27" s="12" t="s">
        <v>72</v>
      </c>
      <c r="AA27" s="12" t="s">
        <v>437</v>
      </c>
      <c r="AB27" s="12" t="s">
        <v>429</v>
      </c>
      <c r="AC27" s="12" t="s">
        <v>185</v>
      </c>
      <c r="AD27" s="13" t="s">
        <v>438</v>
      </c>
      <c r="AE27" s="14" t="s">
        <v>76</v>
      </c>
      <c r="AF27" s="13" t="s">
        <v>77</v>
      </c>
      <c r="AG27" s="13" t="s">
        <v>78</v>
      </c>
      <c r="AH27" s="13" t="s">
        <v>79</v>
      </c>
      <c r="AI27" s="13" t="s">
        <v>80</v>
      </c>
      <c r="AJ27" s="15" t="str">
        <f t="shared" si="0"/>
        <v>-</v>
      </c>
      <c r="AK27" s="20" t="str">
        <f t="shared" si="1"/>
        <v>-</v>
      </c>
      <c r="AL27" s="15" t="str">
        <f t="shared" si="2"/>
        <v>-</v>
      </c>
      <c r="AM27" s="15" t="str">
        <f t="shared" si="3"/>
        <v>-</v>
      </c>
      <c r="AN27" s="15" t="str">
        <f t="shared" si="4"/>
        <v>-</v>
      </c>
      <c r="AO27" s="15" t="str">
        <f t="shared" si="5"/>
        <v>-</v>
      </c>
      <c r="AP27" s="16" t="s">
        <v>439</v>
      </c>
      <c r="AQ27" s="16" t="s">
        <v>82</v>
      </c>
      <c r="AR27" s="16" t="s">
        <v>83</v>
      </c>
      <c r="AS27" s="16">
        <v>1175000</v>
      </c>
      <c r="AT27" s="16">
        <v>611000</v>
      </c>
      <c r="AU27" s="16">
        <v>0</v>
      </c>
      <c r="AV27" s="16">
        <v>5264000</v>
      </c>
      <c r="AW27" s="16" t="s">
        <v>84</v>
      </c>
      <c r="AX27" s="16" t="s">
        <v>85</v>
      </c>
      <c r="AY27" s="17" t="s">
        <v>440</v>
      </c>
      <c r="AZ27" s="17" t="s">
        <v>87</v>
      </c>
      <c r="BA27" s="17" t="str">
        <f>"700000"</f>
        <v>700000</v>
      </c>
      <c r="BB27" s="17" t="str">
        <f t="shared" si="6"/>
        <v>Sesuai jabatan</v>
      </c>
      <c r="BC27" s="18" t="s">
        <v>441</v>
      </c>
      <c r="BD27" s="18" t="s">
        <v>143</v>
      </c>
      <c r="BE27" s="18">
        <v>1700000</v>
      </c>
      <c r="BF27" s="18" t="s">
        <v>144</v>
      </c>
    </row>
    <row r="28" spans="1:58" x14ac:dyDescent="0.25">
      <c r="A28" s="10" t="s">
        <v>427</v>
      </c>
      <c r="B28" s="10" t="s">
        <v>428</v>
      </c>
      <c r="C28" s="10" t="s">
        <v>429</v>
      </c>
      <c r="D28" s="10" t="s">
        <v>430</v>
      </c>
      <c r="E28" s="10" t="s">
        <v>56</v>
      </c>
      <c r="F28" s="10" t="s">
        <v>431</v>
      </c>
      <c r="G28" s="10" t="s">
        <v>432</v>
      </c>
      <c r="H28" s="10" t="s">
        <v>433</v>
      </c>
      <c r="I28" s="10" t="s">
        <v>60</v>
      </c>
      <c r="J28" s="10" t="s">
        <v>174</v>
      </c>
      <c r="K28" s="10" t="s">
        <v>100</v>
      </c>
      <c r="L28" s="10" t="s">
        <v>101</v>
      </c>
      <c r="M28" s="10" t="s">
        <v>102</v>
      </c>
      <c r="N28" s="10">
        <v>3500000</v>
      </c>
      <c r="O28" s="10">
        <v>5500000</v>
      </c>
      <c r="P28" s="10" t="s">
        <v>178</v>
      </c>
      <c r="Q28" s="10" t="s">
        <v>179</v>
      </c>
      <c r="R28" s="10" t="s">
        <v>180</v>
      </c>
      <c r="S28" s="11" t="s">
        <v>434</v>
      </c>
      <c r="T28" s="11" t="s">
        <v>69</v>
      </c>
      <c r="U28" s="11" t="s">
        <v>433</v>
      </c>
      <c r="V28" s="11" t="s">
        <v>435</v>
      </c>
      <c r="W28" s="11">
        <v>4700000</v>
      </c>
      <c r="X28" s="11" t="s">
        <v>60</v>
      </c>
      <c r="Y28" s="12" t="s">
        <v>436</v>
      </c>
      <c r="Z28" s="12" t="s">
        <v>72</v>
      </c>
      <c r="AA28" s="12" t="s">
        <v>437</v>
      </c>
      <c r="AB28" s="12" t="s">
        <v>429</v>
      </c>
      <c r="AC28" s="12" t="s">
        <v>185</v>
      </c>
      <c r="AD28" s="13" t="s">
        <v>438</v>
      </c>
      <c r="AE28" s="14" t="s">
        <v>76</v>
      </c>
      <c r="AF28" s="13" t="s">
        <v>77</v>
      </c>
      <c r="AG28" s="13" t="s">
        <v>78</v>
      </c>
      <c r="AH28" s="13" t="s">
        <v>79</v>
      </c>
      <c r="AI28" s="13" t="s">
        <v>80</v>
      </c>
      <c r="AJ28" s="15" t="str">
        <f t="shared" si="0"/>
        <v>-</v>
      </c>
      <c r="AK28" s="20" t="str">
        <f t="shared" si="1"/>
        <v>-</v>
      </c>
      <c r="AL28" s="15" t="str">
        <f t="shared" si="2"/>
        <v>-</v>
      </c>
      <c r="AM28" s="15" t="str">
        <f t="shared" si="3"/>
        <v>-</v>
      </c>
      <c r="AN28" s="15" t="str">
        <f t="shared" si="4"/>
        <v>-</v>
      </c>
      <c r="AO28" s="15" t="str">
        <f t="shared" si="5"/>
        <v>-</v>
      </c>
      <c r="AP28" s="16" t="s">
        <v>439</v>
      </c>
      <c r="AQ28" s="16" t="s">
        <v>82</v>
      </c>
      <c r="AR28" s="16" t="s">
        <v>83</v>
      </c>
      <c r="AS28" s="16">
        <v>1175000</v>
      </c>
      <c r="AT28" s="16">
        <v>611000</v>
      </c>
      <c r="AU28" s="16">
        <v>0</v>
      </c>
      <c r="AV28" s="16">
        <v>5264000</v>
      </c>
      <c r="AW28" s="16" t="s">
        <v>84</v>
      </c>
      <c r="AX28" s="16" t="s">
        <v>85</v>
      </c>
      <c r="AY28" s="17" t="s">
        <v>666</v>
      </c>
      <c r="AZ28" s="17" t="s">
        <v>114</v>
      </c>
      <c r="BA28" s="17" t="str">
        <f>"400000"</f>
        <v>400000</v>
      </c>
      <c r="BB28" s="17" t="str">
        <f t="shared" si="6"/>
        <v>Biaya makan</v>
      </c>
      <c r="BC28" s="18" t="s">
        <v>441</v>
      </c>
      <c r="BD28" s="18" t="s">
        <v>143</v>
      </c>
      <c r="BE28" s="18">
        <v>1700000</v>
      </c>
      <c r="BF28" s="18" t="s">
        <v>144</v>
      </c>
    </row>
    <row r="29" spans="1:58" x14ac:dyDescent="0.25">
      <c r="A29" s="10" t="s">
        <v>442</v>
      </c>
      <c r="B29" s="10" t="s">
        <v>443</v>
      </c>
      <c r="C29" s="10" t="s">
        <v>444</v>
      </c>
      <c r="D29" s="10" t="s">
        <v>445</v>
      </c>
      <c r="E29" s="10" t="s">
        <v>95</v>
      </c>
      <c r="F29" s="10" t="s">
        <v>446</v>
      </c>
      <c r="G29" s="10" t="s">
        <v>447</v>
      </c>
      <c r="H29" s="10" t="s">
        <v>448</v>
      </c>
      <c r="I29" s="10" t="s">
        <v>60</v>
      </c>
      <c r="J29" s="10" t="s">
        <v>61</v>
      </c>
      <c r="K29" s="10" t="s">
        <v>175</v>
      </c>
      <c r="L29" s="10" t="s">
        <v>176</v>
      </c>
      <c r="M29" s="10" t="s">
        <v>177</v>
      </c>
      <c r="N29" s="10">
        <v>2500000</v>
      </c>
      <c r="O29" s="10">
        <v>3500000</v>
      </c>
      <c r="P29" s="10" t="s">
        <v>65</v>
      </c>
      <c r="Q29" s="10" t="s">
        <v>66</v>
      </c>
      <c r="R29" s="10" t="s">
        <v>67</v>
      </c>
      <c r="S29" s="11" t="s">
        <v>449</v>
      </c>
      <c r="T29" s="11" t="s">
        <v>311</v>
      </c>
      <c r="U29" s="11" t="s">
        <v>448</v>
      </c>
      <c r="V29" s="11" t="s">
        <v>450</v>
      </c>
      <c r="W29" s="11">
        <v>2500000</v>
      </c>
      <c r="X29" s="11" t="s">
        <v>60</v>
      </c>
      <c r="Y29" s="12" t="s">
        <v>451</v>
      </c>
      <c r="Z29" s="12" t="s">
        <v>109</v>
      </c>
      <c r="AA29" s="12" t="s">
        <v>452</v>
      </c>
      <c r="AB29" s="12" t="s">
        <v>444</v>
      </c>
      <c r="AC29" s="12" t="s">
        <v>185</v>
      </c>
      <c r="AD29" s="13" t="s">
        <v>453</v>
      </c>
      <c r="AE29" s="14" t="s">
        <v>76</v>
      </c>
      <c r="AF29" s="13" t="s">
        <v>77</v>
      </c>
      <c r="AG29" s="13" t="s">
        <v>78</v>
      </c>
      <c r="AH29" s="13" t="s">
        <v>79</v>
      </c>
      <c r="AI29" s="13" t="s">
        <v>80</v>
      </c>
      <c r="AJ29" s="15" t="str">
        <f t="shared" si="0"/>
        <v>-</v>
      </c>
      <c r="AK29" s="20" t="str">
        <f t="shared" si="1"/>
        <v>-</v>
      </c>
      <c r="AL29" s="15" t="str">
        <f t="shared" si="2"/>
        <v>-</v>
      </c>
      <c r="AM29" s="15" t="str">
        <f t="shared" si="3"/>
        <v>-</v>
      </c>
      <c r="AN29" s="15" t="str">
        <f t="shared" si="4"/>
        <v>-</v>
      </c>
      <c r="AO29" s="15" t="str">
        <f t="shared" si="5"/>
        <v>-</v>
      </c>
      <c r="AP29" s="16" t="s">
        <v>454</v>
      </c>
      <c r="AQ29" s="16" t="s">
        <v>82</v>
      </c>
      <c r="AR29" s="16" t="s">
        <v>83</v>
      </c>
      <c r="AS29" s="16">
        <v>625000</v>
      </c>
      <c r="AT29" s="16">
        <v>325000</v>
      </c>
      <c r="AU29" s="16">
        <v>0</v>
      </c>
      <c r="AV29" s="16">
        <v>2800000</v>
      </c>
      <c r="AW29" s="16" t="s">
        <v>84</v>
      </c>
      <c r="AX29" s="16" t="s">
        <v>85</v>
      </c>
      <c r="AY29" s="17" t="s">
        <v>455</v>
      </c>
      <c r="AZ29" s="17" t="s">
        <v>114</v>
      </c>
      <c r="BA29" s="17">
        <v>500000</v>
      </c>
      <c r="BB29" s="17" t="str">
        <f t="shared" si="6"/>
        <v>Biaya makan</v>
      </c>
      <c r="BC29" s="18" t="s">
        <v>456</v>
      </c>
      <c r="BD29" s="18" t="s">
        <v>89</v>
      </c>
      <c r="BE29" s="18">
        <v>145000</v>
      </c>
      <c r="BF29" s="18" t="s">
        <v>90</v>
      </c>
    </row>
    <row r="30" spans="1:58" x14ac:dyDescent="0.25">
      <c r="A30" s="10" t="s">
        <v>457</v>
      </c>
      <c r="B30" s="10" t="s">
        <v>458</v>
      </c>
      <c r="C30" s="10" t="s">
        <v>459</v>
      </c>
      <c r="D30" s="10" t="s">
        <v>460</v>
      </c>
      <c r="E30" s="10" t="s">
        <v>56</v>
      </c>
      <c r="F30" s="10" t="s">
        <v>461</v>
      </c>
      <c r="G30" s="10" t="s">
        <v>462</v>
      </c>
      <c r="H30" s="10" t="s">
        <v>463</v>
      </c>
      <c r="I30" s="10" t="s">
        <v>60</v>
      </c>
      <c r="J30" s="10" t="s">
        <v>99</v>
      </c>
      <c r="K30" s="10" t="s">
        <v>62</v>
      </c>
      <c r="L30" s="10" t="s">
        <v>63</v>
      </c>
      <c r="M30" s="10" t="s">
        <v>64</v>
      </c>
      <c r="N30" s="10">
        <v>8000000</v>
      </c>
      <c r="O30" s="10">
        <v>15000000</v>
      </c>
      <c r="P30" s="10" t="s">
        <v>103</v>
      </c>
      <c r="Q30" s="10" t="s">
        <v>104</v>
      </c>
      <c r="R30" s="10" t="s">
        <v>105</v>
      </c>
      <c r="S30" s="11" t="s">
        <v>464</v>
      </c>
      <c r="T30" s="11" t="s">
        <v>69</v>
      </c>
      <c r="U30" s="11" t="s">
        <v>463</v>
      </c>
      <c r="V30" s="11" t="s">
        <v>465</v>
      </c>
      <c r="W30" s="11">
        <v>9000000</v>
      </c>
      <c r="X30" s="11" t="s">
        <v>60</v>
      </c>
      <c r="Y30" s="12" t="s">
        <v>466</v>
      </c>
      <c r="Z30" s="12" t="s">
        <v>136</v>
      </c>
      <c r="AA30" s="12" t="s">
        <v>467</v>
      </c>
      <c r="AB30" s="12" t="s">
        <v>459</v>
      </c>
      <c r="AC30" s="12" t="s">
        <v>185</v>
      </c>
      <c r="AD30" s="13" t="s">
        <v>468</v>
      </c>
      <c r="AE30" s="14" t="s">
        <v>76</v>
      </c>
      <c r="AF30" s="13" t="s">
        <v>77</v>
      </c>
      <c r="AG30" s="13" t="s">
        <v>78</v>
      </c>
      <c r="AH30" s="13" t="s">
        <v>79</v>
      </c>
      <c r="AI30" s="13" t="s">
        <v>80</v>
      </c>
      <c r="AJ30" s="15" t="str">
        <f t="shared" si="0"/>
        <v>LBR011</v>
      </c>
      <c r="AK30" s="20">
        <f t="shared" si="1"/>
        <v>45765</v>
      </c>
      <c r="AL30" s="15">
        <f t="shared" si="2"/>
        <v>3</v>
      </c>
      <c r="AM30" s="15" t="str">
        <f t="shared" si="3"/>
        <v>Review laporan keuangan</v>
      </c>
      <c r="AN30" s="15" t="str">
        <f t="shared" si="4"/>
        <v>Approved</v>
      </c>
      <c r="AO30" s="15">
        <f t="shared" si="5"/>
        <v>28000</v>
      </c>
      <c r="AP30" s="16" t="s">
        <v>469</v>
      </c>
      <c r="AQ30" s="16" t="s">
        <v>82</v>
      </c>
      <c r="AR30" s="16" t="s">
        <v>83</v>
      </c>
      <c r="AS30" s="16">
        <v>2250000</v>
      </c>
      <c r="AT30" s="16">
        <v>1170000</v>
      </c>
      <c r="AU30" s="16">
        <v>84000</v>
      </c>
      <c r="AV30" s="16">
        <v>10164000</v>
      </c>
      <c r="AW30" s="16" t="s">
        <v>84</v>
      </c>
      <c r="AX30" s="16" t="s">
        <v>85</v>
      </c>
      <c r="AY30" s="17" t="s">
        <v>470</v>
      </c>
      <c r="AZ30" s="17" t="s">
        <v>141</v>
      </c>
      <c r="BA30" s="17">
        <v>300000</v>
      </c>
      <c r="BB30" s="17" t="str">
        <f t="shared" si="6"/>
        <v>Biaya transport</v>
      </c>
      <c r="BC30" s="18" t="s">
        <v>471</v>
      </c>
      <c r="BD30" s="18" t="s">
        <v>116</v>
      </c>
      <c r="BE30" s="18">
        <v>116000</v>
      </c>
      <c r="BF30" s="18" t="s">
        <v>117</v>
      </c>
    </row>
    <row r="31" spans="1:58" x14ac:dyDescent="0.25">
      <c r="A31" s="10" t="s">
        <v>472</v>
      </c>
      <c r="B31" s="10" t="s">
        <v>473</v>
      </c>
      <c r="C31" s="10" t="s">
        <v>474</v>
      </c>
      <c r="D31" s="10" t="s">
        <v>475</v>
      </c>
      <c r="E31" s="10" t="s">
        <v>95</v>
      </c>
      <c r="F31" s="10" t="s">
        <v>476</v>
      </c>
      <c r="G31" s="10" t="s">
        <v>477</v>
      </c>
      <c r="H31" s="10" t="s">
        <v>478</v>
      </c>
      <c r="I31" s="10" t="s">
        <v>60</v>
      </c>
      <c r="J31" s="10" t="s">
        <v>125</v>
      </c>
      <c r="K31" s="10" t="s">
        <v>175</v>
      </c>
      <c r="L31" s="10" t="s">
        <v>176</v>
      </c>
      <c r="M31" s="10" t="s">
        <v>177</v>
      </c>
      <c r="N31" s="10">
        <v>2500000</v>
      </c>
      <c r="O31" s="10">
        <v>3500000</v>
      </c>
      <c r="P31" s="10" t="s">
        <v>129</v>
      </c>
      <c r="Q31" s="10" t="s">
        <v>130</v>
      </c>
      <c r="R31" s="10" t="s">
        <v>131</v>
      </c>
      <c r="S31" s="11" t="s">
        <v>479</v>
      </c>
      <c r="T31" s="11" t="s">
        <v>133</v>
      </c>
      <c r="U31" s="11" t="s">
        <v>478</v>
      </c>
      <c r="V31" s="11" t="s">
        <v>480</v>
      </c>
      <c r="W31" s="11">
        <v>2900000</v>
      </c>
      <c r="X31" s="11" t="s">
        <v>60</v>
      </c>
      <c r="Y31" s="12" t="s">
        <v>481</v>
      </c>
      <c r="Z31" s="12" t="s">
        <v>161</v>
      </c>
      <c r="AA31" s="12" t="s">
        <v>482</v>
      </c>
      <c r="AB31" s="12" t="s">
        <v>474</v>
      </c>
      <c r="AC31" s="12" t="s">
        <v>185</v>
      </c>
      <c r="AD31" s="13" t="s">
        <v>483</v>
      </c>
      <c r="AE31" s="14" t="s">
        <v>76</v>
      </c>
      <c r="AF31" s="13" t="s">
        <v>77</v>
      </c>
      <c r="AG31" s="13" t="s">
        <v>78</v>
      </c>
      <c r="AH31" s="13" t="s">
        <v>79</v>
      </c>
      <c r="AI31" s="13" t="s">
        <v>80</v>
      </c>
      <c r="AJ31" s="15" t="str">
        <f t="shared" si="0"/>
        <v>-</v>
      </c>
      <c r="AK31" s="20" t="str">
        <f t="shared" si="1"/>
        <v>-</v>
      </c>
      <c r="AL31" s="15" t="str">
        <f t="shared" si="2"/>
        <v>-</v>
      </c>
      <c r="AM31" s="15" t="str">
        <f t="shared" si="3"/>
        <v>-</v>
      </c>
      <c r="AN31" s="15" t="str">
        <f t="shared" si="4"/>
        <v>-</v>
      </c>
      <c r="AO31" s="15" t="str">
        <f t="shared" si="5"/>
        <v>-</v>
      </c>
      <c r="AP31" s="16" t="s">
        <v>484</v>
      </c>
      <c r="AQ31" s="16" t="s">
        <v>82</v>
      </c>
      <c r="AR31" s="16" t="s">
        <v>83</v>
      </c>
      <c r="AS31" s="16">
        <v>725000</v>
      </c>
      <c r="AT31" s="16">
        <v>377000</v>
      </c>
      <c r="AU31" s="16">
        <v>0</v>
      </c>
      <c r="AV31" s="16">
        <v>3248000</v>
      </c>
      <c r="AW31" s="16" t="s">
        <v>84</v>
      </c>
      <c r="AX31" s="16" t="s">
        <v>85</v>
      </c>
      <c r="AY31" s="17" t="s">
        <v>485</v>
      </c>
      <c r="AZ31" s="17" t="s">
        <v>87</v>
      </c>
      <c r="BA31" s="17">
        <v>700000</v>
      </c>
      <c r="BB31" s="17" t="str">
        <f t="shared" si="6"/>
        <v>Sesuai jabatan</v>
      </c>
      <c r="BC31" s="18" t="s">
        <v>486</v>
      </c>
      <c r="BD31" s="18" t="s">
        <v>143</v>
      </c>
      <c r="BE31" s="18">
        <v>493000</v>
      </c>
      <c r="BF31" s="18" t="s">
        <v>144</v>
      </c>
    </row>
    <row r="32" spans="1:58" x14ac:dyDescent="0.25">
      <c r="A32" s="10" t="s">
        <v>487</v>
      </c>
      <c r="B32" s="10" t="s">
        <v>488</v>
      </c>
      <c r="C32" s="10" t="s">
        <v>489</v>
      </c>
      <c r="D32" s="10" t="s">
        <v>490</v>
      </c>
      <c r="E32" s="10" t="s">
        <v>56</v>
      </c>
      <c r="F32" s="10" t="s">
        <v>491</v>
      </c>
      <c r="G32" s="10" t="s">
        <v>492</v>
      </c>
      <c r="H32" s="10" t="s">
        <v>493</v>
      </c>
      <c r="I32" s="10" t="s">
        <v>60</v>
      </c>
      <c r="J32" s="10" t="s">
        <v>152</v>
      </c>
      <c r="K32" s="10" t="s">
        <v>62</v>
      </c>
      <c r="L32" s="10" t="s">
        <v>63</v>
      </c>
      <c r="M32" s="10" t="s">
        <v>64</v>
      </c>
      <c r="N32" s="10">
        <v>8000000</v>
      </c>
      <c r="O32" s="10">
        <v>15000000</v>
      </c>
      <c r="P32" s="10" t="s">
        <v>155</v>
      </c>
      <c r="Q32" s="10" t="s">
        <v>156</v>
      </c>
      <c r="R32" s="10" t="s">
        <v>157</v>
      </c>
      <c r="S32" s="11" t="s">
        <v>494</v>
      </c>
      <c r="T32" s="11" t="s">
        <v>69</v>
      </c>
      <c r="U32" s="11" t="s">
        <v>493</v>
      </c>
      <c r="V32" s="11" t="s">
        <v>495</v>
      </c>
      <c r="W32" s="11">
        <v>9200000</v>
      </c>
      <c r="X32" s="11" t="s">
        <v>60</v>
      </c>
      <c r="Y32" s="12" t="s">
        <v>496</v>
      </c>
      <c r="Z32" s="12" t="s">
        <v>72</v>
      </c>
      <c r="AA32" s="12" t="s">
        <v>497</v>
      </c>
      <c r="AB32" s="12" t="s">
        <v>489</v>
      </c>
      <c r="AC32" s="12" t="s">
        <v>185</v>
      </c>
      <c r="AD32" s="13" t="s">
        <v>498</v>
      </c>
      <c r="AE32" s="14" t="s">
        <v>76</v>
      </c>
      <c r="AF32" s="13" t="s">
        <v>77</v>
      </c>
      <c r="AG32" s="13" t="s">
        <v>78</v>
      </c>
      <c r="AH32" s="13" t="s">
        <v>79</v>
      </c>
      <c r="AI32" s="13" t="s">
        <v>80</v>
      </c>
      <c r="AJ32" s="15" t="str">
        <f t="shared" si="0"/>
        <v>LBR012</v>
      </c>
      <c r="AK32" s="20">
        <f t="shared" si="1"/>
        <v>45766</v>
      </c>
      <c r="AL32" s="15">
        <f t="shared" si="2"/>
        <v>2</v>
      </c>
      <c r="AM32" s="15" t="str">
        <f t="shared" si="3"/>
        <v>Koordinasi operasional</v>
      </c>
      <c r="AN32" s="15" t="str">
        <f t="shared" si="4"/>
        <v>Approved</v>
      </c>
      <c r="AO32" s="15">
        <f t="shared" si="5"/>
        <v>29000</v>
      </c>
      <c r="AP32" s="16" t="s">
        <v>499</v>
      </c>
      <c r="AQ32" s="16" t="s">
        <v>82</v>
      </c>
      <c r="AR32" s="16" t="s">
        <v>83</v>
      </c>
      <c r="AS32" s="16">
        <v>2300000</v>
      </c>
      <c r="AT32" s="16">
        <v>1196000</v>
      </c>
      <c r="AU32" s="16">
        <v>58000</v>
      </c>
      <c r="AV32" s="16">
        <v>10362000</v>
      </c>
      <c r="AW32" s="16" t="s">
        <v>84</v>
      </c>
      <c r="AX32" s="16" t="s">
        <v>85</v>
      </c>
      <c r="AY32" s="17" t="s">
        <v>500</v>
      </c>
      <c r="AZ32" s="17" t="s">
        <v>114</v>
      </c>
      <c r="BA32" s="17">
        <v>500000</v>
      </c>
      <c r="BB32" s="17" t="str">
        <f t="shared" si="6"/>
        <v>Biaya makan</v>
      </c>
      <c r="BC32" s="18" t="s">
        <v>501</v>
      </c>
      <c r="BD32" s="18" t="s">
        <v>89</v>
      </c>
      <c r="BE32" s="18">
        <v>137500</v>
      </c>
      <c r="BF32" s="18" t="s">
        <v>90</v>
      </c>
    </row>
    <row r="33" spans="1:58" x14ac:dyDescent="0.25">
      <c r="A33" s="10" t="s">
        <v>502</v>
      </c>
      <c r="B33" s="10" t="s">
        <v>503</v>
      </c>
      <c r="C33" s="10" t="s">
        <v>504</v>
      </c>
      <c r="D33" s="10" t="s">
        <v>505</v>
      </c>
      <c r="E33" s="10" t="s">
        <v>95</v>
      </c>
      <c r="F33" s="10" t="s">
        <v>506</v>
      </c>
      <c r="G33" s="10" t="s">
        <v>507</v>
      </c>
      <c r="H33" s="10" t="s">
        <v>508</v>
      </c>
      <c r="I33" s="10" t="s">
        <v>60</v>
      </c>
      <c r="J33" s="10" t="s">
        <v>174</v>
      </c>
      <c r="K33" s="10" t="s">
        <v>175</v>
      </c>
      <c r="L33" s="10" t="s">
        <v>176</v>
      </c>
      <c r="M33" s="10" t="s">
        <v>177</v>
      </c>
      <c r="N33" s="10">
        <v>2500000</v>
      </c>
      <c r="O33" s="10">
        <v>3500000</v>
      </c>
      <c r="P33" s="10" t="s">
        <v>178</v>
      </c>
      <c r="Q33" s="10" t="s">
        <v>179</v>
      </c>
      <c r="R33" s="10" t="s">
        <v>180</v>
      </c>
      <c r="S33" s="11" t="s">
        <v>509</v>
      </c>
      <c r="T33" s="11" t="s">
        <v>133</v>
      </c>
      <c r="U33" s="11" t="s">
        <v>508</v>
      </c>
      <c r="V33" s="11" t="s">
        <v>510</v>
      </c>
      <c r="W33" s="11">
        <v>2800000</v>
      </c>
      <c r="X33" s="11" t="s">
        <v>60</v>
      </c>
      <c r="Y33" s="12" t="s">
        <v>511</v>
      </c>
      <c r="Z33" s="12" t="s">
        <v>109</v>
      </c>
      <c r="AA33" s="12" t="s">
        <v>512</v>
      </c>
      <c r="AB33" s="12" t="s">
        <v>504</v>
      </c>
      <c r="AC33" s="12" t="s">
        <v>185</v>
      </c>
      <c r="AD33" s="13" t="s">
        <v>513</v>
      </c>
      <c r="AE33" s="14" t="s">
        <v>76</v>
      </c>
      <c r="AF33" s="13" t="s">
        <v>77</v>
      </c>
      <c r="AG33" s="13" t="s">
        <v>78</v>
      </c>
      <c r="AH33" s="13" t="s">
        <v>79</v>
      </c>
      <c r="AI33" s="13" t="s">
        <v>80</v>
      </c>
      <c r="AJ33" s="15" t="str">
        <f t="shared" si="0"/>
        <v>-</v>
      </c>
      <c r="AK33" s="20" t="str">
        <f t="shared" si="1"/>
        <v>-</v>
      </c>
      <c r="AL33" s="15" t="str">
        <f t="shared" si="2"/>
        <v>-</v>
      </c>
      <c r="AM33" s="15" t="str">
        <f t="shared" si="3"/>
        <v>-</v>
      </c>
      <c r="AN33" s="15" t="str">
        <f t="shared" si="4"/>
        <v>-</v>
      </c>
      <c r="AO33" s="15" t="str">
        <f t="shared" si="5"/>
        <v>-</v>
      </c>
      <c r="AP33" s="16" t="s">
        <v>514</v>
      </c>
      <c r="AQ33" s="16" t="s">
        <v>82</v>
      </c>
      <c r="AR33" s="16" t="s">
        <v>83</v>
      </c>
      <c r="AS33" s="16">
        <v>700000</v>
      </c>
      <c r="AT33" s="16">
        <v>364000</v>
      </c>
      <c r="AU33" s="16">
        <v>0</v>
      </c>
      <c r="AV33" s="16">
        <v>3136000</v>
      </c>
      <c r="AW33" s="16" t="s">
        <v>84</v>
      </c>
      <c r="AX33" s="16" t="s">
        <v>85</v>
      </c>
      <c r="AY33" s="17" t="s">
        <v>515</v>
      </c>
      <c r="AZ33" s="17" t="s">
        <v>141</v>
      </c>
      <c r="BA33" s="17">
        <v>200000</v>
      </c>
      <c r="BB33" s="17" t="str">
        <f t="shared" si="6"/>
        <v>Biaya transport</v>
      </c>
      <c r="BC33" s="18" t="s">
        <v>516</v>
      </c>
      <c r="BD33" s="18" t="s">
        <v>116</v>
      </c>
      <c r="BE33" s="18">
        <v>110000</v>
      </c>
      <c r="BF33" s="18" t="s">
        <v>117</v>
      </c>
    </row>
    <row r="34" spans="1:58" x14ac:dyDescent="0.25">
      <c r="A34" s="10" t="s">
        <v>517</v>
      </c>
      <c r="B34" s="10" t="s">
        <v>518</v>
      </c>
      <c r="C34" s="10" t="s">
        <v>519</v>
      </c>
      <c r="D34" s="10" t="s">
        <v>520</v>
      </c>
      <c r="E34" s="10" t="s">
        <v>56</v>
      </c>
      <c r="F34" s="10" t="s">
        <v>521</v>
      </c>
      <c r="G34" s="10" t="s">
        <v>522</v>
      </c>
      <c r="H34" s="10" t="s">
        <v>523</v>
      </c>
      <c r="I34" s="10" t="s">
        <v>60</v>
      </c>
      <c r="J34" s="10" t="s">
        <v>61</v>
      </c>
      <c r="K34" s="10" t="s">
        <v>153</v>
      </c>
      <c r="L34" s="10" t="s">
        <v>154</v>
      </c>
      <c r="M34" s="10" t="s">
        <v>128</v>
      </c>
      <c r="N34" s="10">
        <v>5000000</v>
      </c>
      <c r="O34" s="10">
        <v>8000000</v>
      </c>
      <c r="P34" s="10" t="s">
        <v>65</v>
      </c>
      <c r="Q34" s="10" t="s">
        <v>66</v>
      </c>
      <c r="R34" s="10" t="s">
        <v>67</v>
      </c>
      <c r="S34" s="11" t="s">
        <v>524</v>
      </c>
      <c r="T34" s="11" t="s">
        <v>69</v>
      </c>
      <c r="U34" s="11" t="s">
        <v>523</v>
      </c>
      <c r="V34" s="11" t="s">
        <v>525</v>
      </c>
      <c r="W34" s="11">
        <v>5400000</v>
      </c>
      <c r="X34" s="11" t="s">
        <v>60</v>
      </c>
      <c r="Y34" s="12" t="s">
        <v>526</v>
      </c>
      <c r="Z34" s="12" t="s">
        <v>200</v>
      </c>
      <c r="AA34" s="12" t="s">
        <v>527</v>
      </c>
      <c r="AB34" s="12" t="s">
        <v>519</v>
      </c>
      <c r="AC34" s="12" t="s">
        <v>185</v>
      </c>
      <c r="AD34" s="13" t="s">
        <v>528</v>
      </c>
      <c r="AE34" s="14" t="s">
        <v>76</v>
      </c>
      <c r="AF34" s="13" t="s">
        <v>77</v>
      </c>
      <c r="AG34" s="13" t="s">
        <v>78</v>
      </c>
      <c r="AH34" s="13" t="s">
        <v>79</v>
      </c>
      <c r="AI34" s="13" t="s">
        <v>80</v>
      </c>
      <c r="AJ34" s="15" t="str">
        <f t="shared" si="0"/>
        <v>-</v>
      </c>
      <c r="AK34" s="20" t="str">
        <f t="shared" si="1"/>
        <v>-</v>
      </c>
      <c r="AL34" s="15" t="str">
        <f t="shared" si="2"/>
        <v>-</v>
      </c>
      <c r="AM34" s="15" t="str">
        <f t="shared" si="3"/>
        <v>-</v>
      </c>
      <c r="AN34" s="15" t="str">
        <f t="shared" si="4"/>
        <v>-</v>
      </c>
      <c r="AO34" s="15" t="str">
        <f t="shared" si="5"/>
        <v>-</v>
      </c>
      <c r="AP34" s="16" t="s">
        <v>529</v>
      </c>
      <c r="AQ34" s="16" t="s">
        <v>82</v>
      </c>
      <c r="AR34" s="16" t="s">
        <v>83</v>
      </c>
      <c r="AS34" s="16">
        <v>1350000</v>
      </c>
      <c r="AT34" s="16">
        <v>702000</v>
      </c>
      <c r="AU34" s="16">
        <v>0</v>
      </c>
      <c r="AV34" s="16">
        <v>6048000</v>
      </c>
      <c r="AW34" s="16" t="s">
        <v>84</v>
      </c>
      <c r="AX34" s="16" t="s">
        <v>85</v>
      </c>
      <c r="AY34" s="17" t="s">
        <v>530</v>
      </c>
      <c r="AZ34" s="17" t="s">
        <v>87</v>
      </c>
      <c r="BA34" s="17" t="str">
        <f>"1400000"</f>
        <v>1400000</v>
      </c>
      <c r="BB34" s="17" t="str">
        <f t="shared" si="6"/>
        <v>Sesuai jabatan</v>
      </c>
      <c r="BC34" s="18" t="s">
        <v>531</v>
      </c>
      <c r="BD34" s="18" t="s">
        <v>143</v>
      </c>
      <c r="BE34" s="18">
        <v>467500</v>
      </c>
      <c r="BF34" s="18" t="s">
        <v>144</v>
      </c>
    </row>
    <row r="35" spans="1:58" x14ac:dyDescent="0.25">
      <c r="A35" s="10" t="s">
        <v>517</v>
      </c>
      <c r="B35" s="10" t="s">
        <v>518</v>
      </c>
      <c r="C35" s="10" t="s">
        <v>519</v>
      </c>
      <c r="D35" s="10" t="s">
        <v>520</v>
      </c>
      <c r="E35" s="10" t="s">
        <v>56</v>
      </c>
      <c r="F35" s="10" t="s">
        <v>521</v>
      </c>
      <c r="G35" s="10" t="s">
        <v>522</v>
      </c>
      <c r="H35" s="10" t="s">
        <v>523</v>
      </c>
      <c r="I35" s="10" t="s">
        <v>60</v>
      </c>
      <c r="J35" s="10" t="s">
        <v>61</v>
      </c>
      <c r="K35" s="10" t="s">
        <v>153</v>
      </c>
      <c r="L35" s="10" t="s">
        <v>154</v>
      </c>
      <c r="M35" s="10" t="s">
        <v>128</v>
      </c>
      <c r="N35" s="10">
        <v>5000000</v>
      </c>
      <c r="O35" s="10">
        <v>8000000</v>
      </c>
      <c r="P35" s="10" t="s">
        <v>65</v>
      </c>
      <c r="Q35" s="10" t="s">
        <v>66</v>
      </c>
      <c r="R35" s="10" t="s">
        <v>67</v>
      </c>
      <c r="S35" s="11" t="s">
        <v>524</v>
      </c>
      <c r="T35" s="11" t="s">
        <v>69</v>
      </c>
      <c r="U35" s="11" t="s">
        <v>523</v>
      </c>
      <c r="V35" s="11" t="s">
        <v>525</v>
      </c>
      <c r="W35" s="11">
        <v>5400000</v>
      </c>
      <c r="X35" s="11" t="s">
        <v>60</v>
      </c>
      <c r="Y35" s="12" t="s">
        <v>526</v>
      </c>
      <c r="Z35" s="12" t="s">
        <v>200</v>
      </c>
      <c r="AA35" s="12" t="s">
        <v>527</v>
      </c>
      <c r="AB35" s="12" t="s">
        <v>519</v>
      </c>
      <c r="AC35" s="12" t="s">
        <v>185</v>
      </c>
      <c r="AD35" s="13" t="s">
        <v>528</v>
      </c>
      <c r="AE35" s="14" t="s">
        <v>76</v>
      </c>
      <c r="AF35" s="13" t="s">
        <v>77</v>
      </c>
      <c r="AG35" s="13" t="s">
        <v>78</v>
      </c>
      <c r="AH35" s="13" t="s">
        <v>79</v>
      </c>
      <c r="AI35" s="13" t="s">
        <v>80</v>
      </c>
      <c r="AJ35" s="15" t="str">
        <f t="shared" si="0"/>
        <v>-</v>
      </c>
      <c r="AK35" s="20" t="str">
        <f t="shared" si="1"/>
        <v>-</v>
      </c>
      <c r="AL35" s="15" t="str">
        <f t="shared" si="2"/>
        <v>-</v>
      </c>
      <c r="AM35" s="15" t="str">
        <f t="shared" si="3"/>
        <v>-</v>
      </c>
      <c r="AN35" s="15" t="str">
        <f t="shared" si="4"/>
        <v>-</v>
      </c>
      <c r="AO35" s="15" t="str">
        <f t="shared" si="5"/>
        <v>-</v>
      </c>
      <c r="AP35" s="16" t="s">
        <v>529</v>
      </c>
      <c r="AQ35" s="16" t="s">
        <v>82</v>
      </c>
      <c r="AR35" s="16" t="s">
        <v>83</v>
      </c>
      <c r="AS35" s="16">
        <v>1350000</v>
      </c>
      <c r="AT35" s="16">
        <v>702000</v>
      </c>
      <c r="AU35" s="16">
        <v>0</v>
      </c>
      <c r="AV35" s="16">
        <v>6048000</v>
      </c>
      <c r="AW35" s="16" t="s">
        <v>84</v>
      </c>
      <c r="AX35" s="16" t="s">
        <v>85</v>
      </c>
      <c r="AY35" s="17" t="s">
        <v>669</v>
      </c>
      <c r="AZ35" s="17" t="s">
        <v>114</v>
      </c>
      <c r="BA35" s="17" t="str">
        <f>"400000"</f>
        <v>400000</v>
      </c>
      <c r="BB35" s="17" t="str">
        <f t="shared" si="6"/>
        <v>Biaya makan</v>
      </c>
      <c r="BC35" s="18" t="s">
        <v>531</v>
      </c>
      <c r="BD35" s="18" t="s">
        <v>143</v>
      </c>
      <c r="BE35" s="18">
        <v>467500</v>
      </c>
      <c r="BF35" s="18" t="s">
        <v>144</v>
      </c>
    </row>
    <row r="36" spans="1:58" x14ac:dyDescent="0.25">
      <c r="A36" s="10" t="s">
        <v>532</v>
      </c>
      <c r="B36" s="10" t="s">
        <v>533</v>
      </c>
      <c r="C36" s="10" t="s">
        <v>534</v>
      </c>
      <c r="D36" s="10" t="s">
        <v>535</v>
      </c>
      <c r="E36" s="10" t="s">
        <v>95</v>
      </c>
      <c r="F36" s="10" t="s">
        <v>536</v>
      </c>
      <c r="G36" s="10" t="s">
        <v>537</v>
      </c>
      <c r="H36" s="10" t="s">
        <v>538</v>
      </c>
      <c r="I36" s="10" t="s">
        <v>60</v>
      </c>
      <c r="J36" s="10" t="s">
        <v>99</v>
      </c>
      <c r="K36" s="10" t="s">
        <v>100</v>
      </c>
      <c r="L36" s="10" t="s">
        <v>101</v>
      </c>
      <c r="M36" s="10" t="s">
        <v>102</v>
      </c>
      <c r="N36" s="10">
        <v>3500000</v>
      </c>
      <c r="O36" s="10">
        <v>5500000</v>
      </c>
      <c r="P36" s="10" t="s">
        <v>103</v>
      </c>
      <c r="Q36" s="10" t="s">
        <v>104</v>
      </c>
      <c r="R36" s="10" t="s">
        <v>105</v>
      </c>
      <c r="S36" s="11" t="s">
        <v>539</v>
      </c>
      <c r="T36" s="11" t="s">
        <v>69</v>
      </c>
      <c r="U36" s="11" t="s">
        <v>538</v>
      </c>
      <c r="V36" s="11" t="s">
        <v>540</v>
      </c>
      <c r="W36" s="11">
        <v>4700000</v>
      </c>
      <c r="X36" s="11" t="s">
        <v>60</v>
      </c>
      <c r="Y36" s="12" t="s">
        <v>541</v>
      </c>
      <c r="Z36" s="12" t="s">
        <v>136</v>
      </c>
      <c r="AA36" s="12" t="s">
        <v>542</v>
      </c>
      <c r="AB36" s="12" t="s">
        <v>534</v>
      </c>
      <c r="AC36" s="12" t="s">
        <v>185</v>
      </c>
      <c r="AD36" s="13" t="s">
        <v>543</v>
      </c>
      <c r="AE36" s="14" t="s">
        <v>76</v>
      </c>
      <c r="AF36" s="13" t="s">
        <v>77</v>
      </c>
      <c r="AG36" s="13" t="s">
        <v>78</v>
      </c>
      <c r="AH36" s="13" t="s">
        <v>79</v>
      </c>
      <c r="AI36" s="13" t="s">
        <v>80</v>
      </c>
      <c r="AJ36" s="15" t="str">
        <f t="shared" si="0"/>
        <v>-</v>
      </c>
      <c r="AK36" s="20" t="str">
        <f t="shared" si="1"/>
        <v>-</v>
      </c>
      <c r="AL36" s="15" t="str">
        <f t="shared" si="2"/>
        <v>-</v>
      </c>
      <c r="AM36" s="15" t="str">
        <f t="shared" si="3"/>
        <v>-</v>
      </c>
      <c r="AN36" s="15" t="str">
        <f t="shared" si="4"/>
        <v>-</v>
      </c>
      <c r="AO36" s="15" t="str">
        <f t="shared" si="5"/>
        <v>-</v>
      </c>
      <c r="AP36" s="16" t="s">
        <v>544</v>
      </c>
      <c r="AQ36" s="16" t="s">
        <v>82</v>
      </c>
      <c r="AR36" s="16" t="s">
        <v>83</v>
      </c>
      <c r="AS36" s="16">
        <v>1175000</v>
      </c>
      <c r="AT36" s="16">
        <v>611000</v>
      </c>
      <c r="AU36" s="16">
        <v>0</v>
      </c>
      <c r="AV36" s="16">
        <v>5264000</v>
      </c>
      <c r="AW36" s="16" t="s">
        <v>84</v>
      </c>
      <c r="AX36" s="16" t="s">
        <v>85</v>
      </c>
      <c r="AY36" s="17" t="s">
        <v>545</v>
      </c>
      <c r="AZ36" s="17" t="s">
        <v>114</v>
      </c>
      <c r="BA36" s="17">
        <v>600000</v>
      </c>
      <c r="BB36" s="17" t="str">
        <f t="shared" si="6"/>
        <v>Biaya makan</v>
      </c>
      <c r="BC36" s="18" t="s">
        <v>546</v>
      </c>
      <c r="BD36" s="18" t="s">
        <v>89</v>
      </c>
      <c r="BE36" s="18">
        <v>237500</v>
      </c>
      <c r="BF36" s="18" t="s">
        <v>90</v>
      </c>
    </row>
    <row r="37" spans="1:58" x14ac:dyDescent="0.25">
      <c r="A37" s="10" t="s">
        <v>547</v>
      </c>
      <c r="B37" s="10" t="s">
        <v>548</v>
      </c>
      <c r="C37" s="10" t="s">
        <v>549</v>
      </c>
      <c r="D37" s="10" t="s">
        <v>550</v>
      </c>
      <c r="E37" s="10" t="s">
        <v>56</v>
      </c>
      <c r="F37" s="10" t="s">
        <v>551</v>
      </c>
      <c r="G37" s="10" t="s">
        <v>552</v>
      </c>
      <c r="H37" s="10" t="s">
        <v>553</v>
      </c>
      <c r="I37" s="10" t="s">
        <v>60</v>
      </c>
      <c r="J37" s="10" t="s">
        <v>125</v>
      </c>
      <c r="K37" s="10" t="s">
        <v>175</v>
      </c>
      <c r="L37" s="10" t="s">
        <v>176</v>
      </c>
      <c r="M37" s="10" t="s">
        <v>177</v>
      </c>
      <c r="N37" s="10">
        <v>2500000</v>
      </c>
      <c r="O37" s="10">
        <v>3500000</v>
      </c>
      <c r="P37" s="10" t="s">
        <v>129</v>
      </c>
      <c r="Q37" s="10" t="s">
        <v>130</v>
      </c>
      <c r="R37" s="10" t="s">
        <v>131</v>
      </c>
      <c r="S37" s="11" t="s">
        <v>554</v>
      </c>
      <c r="T37" s="11" t="s">
        <v>311</v>
      </c>
      <c r="U37" s="11" t="s">
        <v>553</v>
      </c>
      <c r="V37" s="11" t="s">
        <v>555</v>
      </c>
      <c r="W37" s="11">
        <v>2500000</v>
      </c>
      <c r="X37" s="11" t="s">
        <v>60</v>
      </c>
      <c r="Y37" s="12" t="s">
        <v>556</v>
      </c>
      <c r="Z37" s="12" t="s">
        <v>161</v>
      </c>
      <c r="AA37" s="12" t="s">
        <v>557</v>
      </c>
      <c r="AB37" s="12" t="s">
        <v>549</v>
      </c>
      <c r="AC37" s="12" t="s">
        <v>185</v>
      </c>
      <c r="AD37" s="13" t="s">
        <v>558</v>
      </c>
      <c r="AE37" s="14" t="s">
        <v>76</v>
      </c>
      <c r="AF37" s="13" t="s">
        <v>80</v>
      </c>
      <c r="AG37" s="13" t="s">
        <v>80</v>
      </c>
      <c r="AH37" s="13" t="s">
        <v>269</v>
      </c>
      <c r="AI37" s="13" t="s">
        <v>559</v>
      </c>
      <c r="AJ37" s="15" t="str">
        <f t="shared" si="0"/>
        <v>-</v>
      </c>
      <c r="AK37" s="20" t="str">
        <f t="shared" si="1"/>
        <v>-</v>
      </c>
      <c r="AL37" s="15" t="str">
        <f t="shared" si="2"/>
        <v>-</v>
      </c>
      <c r="AM37" s="15" t="str">
        <f t="shared" si="3"/>
        <v>-</v>
      </c>
      <c r="AN37" s="15" t="str">
        <f t="shared" si="4"/>
        <v>-</v>
      </c>
      <c r="AO37" s="15" t="str">
        <f t="shared" si="5"/>
        <v>-</v>
      </c>
      <c r="AP37" s="16" t="s">
        <v>560</v>
      </c>
      <c r="AQ37" s="16" t="s">
        <v>82</v>
      </c>
      <c r="AR37" s="16" t="s">
        <v>83</v>
      </c>
      <c r="AS37" s="16">
        <v>625000</v>
      </c>
      <c r="AT37" s="16">
        <v>325000</v>
      </c>
      <c r="AU37" s="16">
        <v>0</v>
      </c>
      <c r="AV37" s="16">
        <v>2800000</v>
      </c>
      <c r="AW37" s="16" t="s">
        <v>84</v>
      </c>
      <c r="AX37" s="16" t="s">
        <v>85</v>
      </c>
      <c r="AY37" s="17" t="s">
        <v>561</v>
      </c>
      <c r="AZ37" s="17" t="s">
        <v>141</v>
      </c>
      <c r="BA37" s="17">
        <v>400000</v>
      </c>
      <c r="BB37" s="17" t="str">
        <f t="shared" si="6"/>
        <v>Biaya transport</v>
      </c>
      <c r="BC37" s="18" t="s">
        <v>562</v>
      </c>
      <c r="BD37" s="18" t="s">
        <v>116</v>
      </c>
      <c r="BE37" s="18">
        <v>190000</v>
      </c>
      <c r="BF37" s="18" t="s">
        <v>117</v>
      </c>
    </row>
    <row r="38" spans="1:58" x14ac:dyDescent="0.25">
      <c r="A38" s="10" t="s">
        <v>563</v>
      </c>
      <c r="B38" s="10" t="s">
        <v>564</v>
      </c>
      <c r="C38" s="10" t="s">
        <v>565</v>
      </c>
      <c r="D38" s="10" t="s">
        <v>566</v>
      </c>
      <c r="E38" s="10" t="s">
        <v>95</v>
      </c>
      <c r="F38" s="10" t="s">
        <v>567</v>
      </c>
      <c r="G38" s="10" t="s">
        <v>568</v>
      </c>
      <c r="H38" s="10" t="s">
        <v>569</v>
      </c>
      <c r="I38" s="10" t="s">
        <v>60</v>
      </c>
      <c r="J38" s="10" t="s">
        <v>174</v>
      </c>
      <c r="K38" s="10" t="s">
        <v>153</v>
      </c>
      <c r="L38" s="10" t="s">
        <v>154</v>
      </c>
      <c r="M38" s="10" t="s">
        <v>128</v>
      </c>
      <c r="N38" s="10">
        <v>5000000</v>
      </c>
      <c r="O38" s="10">
        <v>8000000</v>
      </c>
      <c r="P38" s="10" t="s">
        <v>178</v>
      </c>
      <c r="Q38" s="10" t="s">
        <v>179</v>
      </c>
      <c r="R38" s="10" t="s">
        <v>180</v>
      </c>
      <c r="S38" s="11" t="s">
        <v>570</v>
      </c>
      <c r="T38" s="11" t="s">
        <v>69</v>
      </c>
      <c r="U38" s="11" t="s">
        <v>569</v>
      </c>
      <c r="V38" s="11" t="s">
        <v>571</v>
      </c>
      <c r="W38" s="11">
        <v>5600000</v>
      </c>
      <c r="X38" s="11" t="s">
        <v>60</v>
      </c>
      <c r="Y38" s="12" t="s">
        <v>572</v>
      </c>
      <c r="Z38" s="12" t="s">
        <v>72</v>
      </c>
      <c r="AA38" s="12" t="s">
        <v>573</v>
      </c>
      <c r="AB38" s="12" t="s">
        <v>565</v>
      </c>
      <c r="AC38" s="12" t="s">
        <v>185</v>
      </c>
      <c r="AD38" s="13" t="s">
        <v>574</v>
      </c>
      <c r="AE38" s="14">
        <v>45754</v>
      </c>
      <c r="AF38" s="19">
        <v>0.33333333333333331</v>
      </c>
      <c r="AG38" s="19">
        <v>0.70833333333333337</v>
      </c>
      <c r="AH38" s="13" t="s">
        <v>79</v>
      </c>
      <c r="AI38" s="13" t="s">
        <v>80</v>
      </c>
      <c r="AJ38" s="15" t="str">
        <f t="shared" si="0"/>
        <v>-</v>
      </c>
      <c r="AK38" s="20" t="str">
        <f t="shared" si="1"/>
        <v>-</v>
      </c>
      <c r="AL38" s="15" t="str">
        <f t="shared" si="2"/>
        <v>-</v>
      </c>
      <c r="AM38" s="15" t="str">
        <f t="shared" si="3"/>
        <v>-</v>
      </c>
      <c r="AN38" s="15" t="str">
        <f t="shared" si="4"/>
        <v>-</v>
      </c>
      <c r="AO38" s="15" t="str">
        <f t="shared" si="5"/>
        <v>-</v>
      </c>
      <c r="AP38" s="16" t="s">
        <v>575</v>
      </c>
      <c r="AQ38" s="16" t="s">
        <v>82</v>
      </c>
      <c r="AR38" s="16" t="s">
        <v>83</v>
      </c>
      <c r="AS38" s="16">
        <v>1400000</v>
      </c>
      <c r="AT38" s="16">
        <v>728000</v>
      </c>
      <c r="AU38" s="16">
        <v>0</v>
      </c>
      <c r="AV38" s="16">
        <v>6272000</v>
      </c>
      <c r="AW38" s="16" t="s">
        <v>84</v>
      </c>
      <c r="AX38" s="16" t="s">
        <v>85</v>
      </c>
      <c r="AY38" s="17" t="s">
        <v>576</v>
      </c>
      <c r="AZ38" s="17" t="s">
        <v>87</v>
      </c>
      <c r="BA38" s="17">
        <v>1300000</v>
      </c>
      <c r="BB38" s="17" t="str">
        <f t="shared" si="6"/>
        <v>Sesuai jabatan</v>
      </c>
      <c r="BC38" s="18" t="s">
        <v>577</v>
      </c>
      <c r="BD38" s="18" t="s">
        <v>143</v>
      </c>
      <c r="BE38" s="18">
        <v>807500</v>
      </c>
      <c r="BF38" s="18" t="s">
        <v>144</v>
      </c>
    </row>
    <row r="39" spans="1:58" x14ac:dyDescent="0.25">
      <c r="A39" s="10" t="s">
        <v>563</v>
      </c>
      <c r="B39" s="10" t="s">
        <v>564</v>
      </c>
      <c r="C39" s="10" t="s">
        <v>565</v>
      </c>
      <c r="D39" s="10" t="s">
        <v>566</v>
      </c>
      <c r="E39" s="10" t="s">
        <v>95</v>
      </c>
      <c r="F39" s="10" t="s">
        <v>567</v>
      </c>
      <c r="G39" s="10" t="s">
        <v>568</v>
      </c>
      <c r="H39" s="10" t="s">
        <v>569</v>
      </c>
      <c r="I39" s="10" t="s">
        <v>60</v>
      </c>
      <c r="J39" s="10" t="s">
        <v>174</v>
      </c>
      <c r="K39" s="10" t="s">
        <v>153</v>
      </c>
      <c r="L39" s="10" t="s">
        <v>154</v>
      </c>
      <c r="M39" s="10" t="s">
        <v>128</v>
      </c>
      <c r="N39" s="10">
        <v>5000000</v>
      </c>
      <c r="O39" s="10">
        <v>8000000</v>
      </c>
      <c r="P39" s="10" t="s">
        <v>178</v>
      </c>
      <c r="Q39" s="10" t="s">
        <v>179</v>
      </c>
      <c r="R39" s="10" t="s">
        <v>180</v>
      </c>
      <c r="S39" s="11" t="s">
        <v>570</v>
      </c>
      <c r="T39" s="11" t="s">
        <v>69</v>
      </c>
      <c r="U39" s="11" t="s">
        <v>569</v>
      </c>
      <c r="V39" s="11" t="s">
        <v>571</v>
      </c>
      <c r="W39" s="11">
        <v>5600000</v>
      </c>
      <c r="X39" s="11" t="s">
        <v>60</v>
      </c>
      <c r="Y39" s="12" t="s">
        <v>572</v>
      </c>
      <c r="Z39" s="12" t="s">
        <v>72</v>
      </c>
      <c r="AA39" s="12" t="s">
        <v>573</v>
      </c>
      <c r="AB39" s="12" t="s">
        <v>565</v>
      </c>
      <c r="AC39" s="12" t="s">
        <v>185</v>
      </c>
      <c r="AD39" s="13" t="s">
        <v>663</v>
      </c>
      <c r="AE39" s="14">
        <v>45759</v>
      </c>
      <c r="AF39" s="13" t="s">
        <v>80</v>
      </c>
      <c r="AG39" s="13" t="s">
        <v>80</v>
      </c>
      <c r="AH39" s="13" t="s">
        <v>596</v>
      </c>
      <c r="AI39" s="13" t="s">
        <v>597</v>
      </c>
      <c r="AJ39" s="15" t="str">
        <f t="shared" si="0"/>
        <v>-</v>
      </c>
      <c r="AK39" s="20" t="str">
        <f t="shared" si="1"/>
        <v>-</v>
      </c>
      <c r="AL39" s="15" t="str">
        <f t="shared" si="2"/>
        <v>-</v>
      </c>
      <c r="AM39" s="15" t="str">
        <f t="shared" si="3"/>
        <v>-</v>
      </c>
      <c r="AN39" s="15" t="str">
        <f t="shared" si="4"/>
        <v>-</v>
      </c>
      <c r="AO39" s="15" t="str">
        <f t="shared" si="5"/>
        <v>-</v>
      </c>
      <c r="AP39" s="16" t="s">
        <v>575</v>
      </c>
      <c r="AQ39" s="16" t="s">
        <v>82</v>
      </c>
      <c r="AR39" s="16" t="s">
        <v>83</v>
      </c>
      <c r="AS39" s="16">
        <v>1400000</v>
      </c>
      <c r="AT39" s="16">
        <v>728000</v>
      </c>
      <c r="AU39" s="16">
        <v>0</v>
      </c>
      <c r="AV39" s="16">
        <v>6272000</v>
      </c>
      <c r="AW39" s="16" t="s">
        <v>84</v>
      </c>
      <c r="AX39" s="16" t="s">
        <v>85</v>
      </c>
      <c r="AY39" s="17" t="s">
        <v>576</v>
      </c>
      <c r="AZ39" s="17" t="s">
        <v>87</v>
      </c>
      <c r="BA39" s="17">
        <v>1300000</v>
      </c>
      <c r="BB39" s="17" t="str">
        <f t="shared" si="6"/>
        <v>Sesuai jabatan</v>
      </c>
      <c r="BC39" s="18" t="s">
        <v>577</v>
      </c>
      <c r="BD39" s="18" t="s">
        <v>143</v>
      </c>
      <c r="BE39" s="18">
        <v>807500</v>
      </c>
      <c r="BF39" s="18" t="s">
        <v>144</v>
      </c>
    </row>
    <row r="40" spans="1:58" x14ac:dyDescent="0.25">
      <c r="AD40" s="27"/>
    </row>
    <row r="41" spans="1:58" x14ac:dyDescent="0.25">
      <c r="AD41" s="27"/>
    </row>
    <row r="42" spans="1:58" x14ac:dyDescent="0.25">
      <c r="AD42" s="27"/>
    </row>
    <row r="43" spans="1:58" x14ac:dyDescent="0.25">
      <c r="AD43" s="27"/>
    </row>
    <row r="44" spans="1:58" x14ac:dyDescent="0.25">
      <c r="AD44" s="27"/>
    </row>
    <row r="45" spans="1:58" x14ac:dyDescent="0.25">
      <c r="AD45" s="27"/>
    </row>
    <row r="46" spans="1:58" x14ac:dyDescent="0.25">
      <c r="AD46" s="27"/>
    </row>
    <row r="47" spans="1:58" x14ac:dyDescent="0.25">
      <c r="AD47" s="27"/>
    </row>
    <row r="48" spans="1:58" x14ac:dyDescent="0.25">
      <c r="AD48" s="27"/>
    </row>
    <row r="49" spans="30:30" x14ac:dyDescent="0.25">
      <c r="AD49" s="27"/>
    </row>
    <row r="50" spans="30:30" x14ac:dyDescent="0.25">
      <c r="AD50" s="27"/>
    </row>
    <row r="51" spans="30:30" x14ac:dyDescent="0.25">
      <c r="AD51" s="27"/>
    </row>
    <row r="52" spans="30:30" x14ac:dyDescent="0.25">
      <c r="AD52" s="27"/>
    </row>
    <row r="53" spans="30:30" x14ac:dyDescent="0.25">
      <c r="AD53" s="27"/>
    </row>
    <row r="54" spans="30:30" x14ac:dyDescent="0.25">
      <c r="AD54" s="27"/>
    </row>
    <row r="55" spans="30:30" x14ac:dyDescent="0.25">
      <c r="AD55" s="27"/>
    </row>
    <row r="56" spans="30:30" x14ac:dyDescent="0.25">
      <c r="AD56" s="27"/>
    </row>
    <row r="57" spans="30:30" x14ac:dyDescent="0.25">
      <c r="AD57" s="27"/>
    </row>
    <row r="58" spans="30:30" x14ac:dyDescent="0.25">
      <c r="AD58" s="27"/>
    </row>
    <row r="59" spans="30:30" x14ac:dyDescent="0.25">
      <c r="AD59" s="27"/>
    </row>
    <row r="60" spans="30:30" x14ac:dyDescent="0.25">
      <c r="AD60" s="27"/>
    </row>
    <row r="61" spans="30:30" x14ac:dyDescent="0.25">
      <c r="AD61" s="27"/>
    </row>
    <row r="62" spans="30:30" x14ac:dyDescent="0.25">
      <c r="AD62" s="27"/>
    </row>
    <row r="63" spans="30:30" x14ac:dyDescent="0.25">
      <c r="AD63" s="27"/>
    </row>
    <row r="64" spans="30:30" x14ac:dyDescent="0.25">
      <c r="AD64" s="27"/>
    </row>
    <row r="65" spans="30:30" x14ac:dyDescent="0.25">
      <c r="AD65" s="27"/>
    </row>
    <row r="66" spans="30:30" x14ac:dyDescent="0.25">
      <c r="AD66" s="27"/>
    </row>
    <row r="67" spans="30:30" x14ac:dyDescent="0.25">
      <c r="AD67" s="27"/>
    </row>
    <row r="68" spans="30:30" x14ac:dyDescent="0.25">
      <c r="AD68" s="27"/>
    </row>
    <row r="69" spans="30:30" x14ac:dyDescent="0.25">
      <c r="AD69" s="27"/>
    </row>
    <row r="70" spans="30:30" x14ac:dyDescent="0.25">
      <c r="AD70" s="27"/>
    </row>
    <row r="71" spans="30:30" x14ac:dyDescent="0.25">
      <c r="AD71" s="27"/>
    </row>
    <row r="72" spans="30:30" x14ac:dyDescent="0.25">
      <c r="AD72" s="27"/>
    </row>
    <row r="73" spans="30:30" x14ac:dyDescent="0.25">
      <c r="AD73" s="27"/>
    </row>
    <row r="74" spans="30:30" x14ac:dyDescent="0.25">
      <c r="AD74" s="27"/>
    </row>
    <row r="75" spans="30:30" x14ac:dyDescent="0.25">
      <c r="AD75" s="27"/>
    </row>
    <row r="76" spans="30:30" x14ac:dyDescent="0.25">
      <c r="AD76" s="27"/>
    </row>
    <row r="77" spans="30:30" x14ac:dyDescent="0.25">
      <c r="AD77" s="27"/>
    </row>
    <row r="78" spans="30:30" x14ac:dyDescent="0.25">
      <c r="AD78" s="27"/>
    </row>
    <row r="79" spans="30:30" x14ac:dyDescent="0.25">
      <c r="AD79" s="27"/>
    </row>
    <row r="80" spans="30:30" x14ac:dyDescent="0.25">
      <c r="AD80" s="27"/>
    </row>
    <row r="81" spans="30:30" x14ac:dyDescent="0.25">
      <c r="AD81" s="27"/>
    </row>
    <row r="82" spans="30:30" x14ac:dyDescent="0.25">
      <c r="AD82" s="27"/>
    </row>
    <row r="83" spans="30:30" x14ac:dyDescent="0.25">
      <c r="AD83" s="27"/>
    </row>
    <row r="84" spans="30:30" x14ac:dyDescent="0.25">
      <c r="AD84" s="27"/>
    </row>
    <row r="85" spans="30:30" x14ac:dyDescent="0.25">
      <c r="AD85" s="27"/>
    </row>
    <row r="86" spans="30:30" x14ac:dyDescent="0.25">
      <c r="AD86" s="27"/>
    </row>
    <row r="87" spans="30:30" x14ac:dyDescent="0.25">
      <c r="AD87" s="27"/>
    </row>
    <row r="88" spans="30:30" x14ac:dyDescent="0.25">
      <c r="AD88" s="27"/>
    </row>
    <row r="89" spans="30:30" x14ac:dyDescent="0.25">
      <c r="AD89" s="27"/>
    </row>
    <row r="90" spans="30:30" x14ac:dyDescent="0.25">
      <c r="AD90" s="27"/>
    </row>
    <row r="91" spans="30:30" x14ac:dyDescent="0.25">
      <c r="AD91" s="27"/>
    </row>
    <row r="92" spans="30:30" x14ac:dyDescent="0.25">
      <c r="AD92" s="27"/>
    </row>
    <row r="93" spans="30:30" x14ac:dyDescent="0.25">
      <c r="AD93" s="27"/>
    </row>
    <row r="94" spans="30:30" x14ac:dyDescent="0.25">
      <c r="AD94" s="27"/>
    </row>
    <row r="95" spans="30:30" x14ac:dyDescent="0.25">
      <c r="AD95" s="27"/>
    </row>
    <row r="96" spans="30:30" x14ac:dyDescent="0.25">
      <c r="AD96" s="27"/>
    </row>
    <row r="97" spans="30:30" x14ac:dyDescent="0.25">
      <c r="AD97" s="27"/>
    </row>
    <row r="98" spans="30:30" x14ac:dyDescent="0.25">
      <c r="AD98" s="27"/>
    </row>
    <row r="99" spans="30:30" x14ac:dyDescent="0.25">
      <c r="AD99" s="27"/>
    </row>
    <row r="100" spans="30:30" x14ac:dyDescent="0.25">
      <c r="AD100" s="27"/>
    </row>
    <row r="101" spans="30:30" x14ac:dyDescent="0.25">
      <c r="AD101" s="27"/>
    </row>
    <row r="102" spans="30:30" x14ac:dyDescent="0.25">
      <c r="AD102" s="27"/>
    </row>
    <row r="103" spans="30:30" x14ac:dyDescent="0.25">
      <c r="AD103" s="27"/>
    </row>
    <row r="104" spans="30:30" x14ac:dyDescent="0.25">
      <c r="AD104" s="27"/>
    </row>
    <row r="105" spans="30:30" x14ac:dyDescent="0.25">
      <c r="AD105" s="27"/>
    </row>
    <row r="106" spans="30:30" x14ac:dyDescent="0.25">
      <c r="AD106" s="27"/>
    </row>
    <row r="107" spans="30:30" x14ac:dyDescent="0.25">
      <c r="AD107" s="27"/>
    </row>
    <row r="108" spans="30:30" x14ac:dyDescent="0.25">
      <c r="AD108" s="27"/>
    </row>
    <row r="109" spans="30:30" x14ac:dyDescent="0.25">
      <c r="AD109" s="27"/>
    </row>
    <row r="110" spans="30:30" x14ac:dyDescent="0.25">
      <c r="AD110" s="27"/>
    </row>
    <row r="111" spans="30:30" x14ac:dyDescent="0.25">
      <c r="AD111" s="27"/>
    </row>
    <row r="112" spans="30:30" x14ac:dyDescent="0.25">
      <c r="AD112" s="27"/>
    </row>
    <row r="113" spans="30:30" x14ac:dyDescent="0.25">
      <c r="AD113" s="27"/>
    </row>
    <row r="114" spans="30:30" x14ac:dyDescent="0.25">
      <c r="AD114" s="27"/>
    </row>
    <row r="115" spans="30:30" x14ac:dyDescent="0.25">
      <c r="AD115" s="27"/>
    </row>
    <row r="116" spans="30:30" x14ac:dyDescent="0.25">
      <c r="AD116" s="27"/>
    </row>
    <row r="117" spans="30:30" x14ac:dyDescent="0.25">
      <c r="AD117" s="27"/>
    </row>
    <row r="118" spans="30:30" x14ac:dyDescent="0.25">
      <c r="AD118" s="27"/>
    </row>
    <row r="119" spans="30:30" x14ac:dyDescent="0.25">
      <c r="AD119" s="27"/>
    </row>
    <row r="120" spans="30:30" x14ac:dyDescent="0.25">
      <c r="AD120" s="27"/>
    </row>
    <row r="121" spans="30:30" x14ac:dyDescent="0.25">
      <c r="AD121" s="27"/>
    </row>
    <row r="122" spans="30:30" x14ac:dyDescent="0.25">
      <c r="AD122" s="27"/>
    </row>
    <row r="123" spans="30:30" x14ac:dyDescent="0.25">
      <c r="AD123" s="27"/>
    </row>
    <row r="124" spans="30:30" x14ac:dyDescent="0.25">
      <c r="AD124" s="27"/>
    </row>
    <row r="125" spans="30:30" x14ac:dyDescent="0.25">
      <c r="AD125" s="27"/>
    </row>
    <row r="126" spans="30:30" x14ac:dyDescent="0.25">
      <c r="AD126" s="27"/>
    </row>
    <row r="127" spans="30:30" x14ac:dyDescent="0.25">
      <c r="AD127" s="27"/>
    </row>
    <row r="128" spans="30:30" x14ac:dyDescent="0.25">
      <c r="AD128" s="27"/>
    </row>
    <row r="129" spans="30:30" x14ac:dyDescent="0.25">
      <c r="AD129" s="27"/>
    </row>
    <row r="130" spans="30:30" x14ac:dyDescent="0.25">
      <c r="AD130" s="27"/>
    </row>
    <row r="131" spans="30:30" x14ac:dyDescent="0.25">
      <c r="AD131" s="27"/>
    </row>
    <row r="132" spans="30:30" x14ac:dyDescent="0.25">
      <c r="AD132" s="27"/>
    </row>
    <row r="133" spans="30:30" x14ac:dyDescent="0.25">
      <c r="AD133" s="27"/>
    </row>
    <row r="134" spans="30:30" x14ac:dyDescent="0.25">
      <c r="AD134" s="27"/>
    </row>
    <row r="135" spans="30:30" x14ac:dyDescent="0.25">
      <c r="AD135" s="27"/>
    </row>
    <row r="136" spans="30:30" x14ac:dyDescent="0.25">
      <c r="AD136" s="27"/>
    </row>
    <row r="137" spans="30:30" x14ac:dyDescent="0.25">
      <c r="AD137" s="27"/>
    </row>
    <row r="138" spans="30:30" x14ac:dyDescent="0.25">
      <c r="AD138" s="27"/>
    </row>
    <row r="139" spans="30:30" x14ac:dyDescent="0.25">
      <c r="AD139" s="27"/>
    </row>
    <row r="140" spans="30:30" x14ac:dyDescent="0.25">
      <c r="AD140" s="27"/>
    </row>
    <row r="141" spans="30:30" x14ac:dyDescent="0.25">
      <c r="AD141" s="27"/>
    </row>
    <row r="142" spans="30:30" x14ac:dyDescent="0.25">
      <c r="AD142" s="27"/>
    </row>
    <row r="143" spans="30:30" x14ac:dyDescent="0.25">
      <c r="AD143" s="27"/>
    </row>
    <row r="144" spans="30:30" x14ac:dyDescent="0.25">
      <c r="AD144" s="27"/>
    </row>
    <row r="145" spans="30:30" x14ac:dyDescent="0.25">
      <c r="AD145" s="27"/>
    </row>
    <row r="146" spans="30:30" x14ac:dyDescent="0.25">
      <c r="AD146" s="27"/>
    </row>
    <row r="147" spans="30:30" x14ac:dyDescent="0.25">
      <c r="AD147" s="27"/>
    </row>
    <row r="148" spans="30:30" x14ac:dyDescent="0.25">
      <c r="AD148" s="27"/>
    </row>
    <row r="149" spans="30:30" x14ac:dyDescent="0.25">
      <c r="AD149" s="27"/>
    </row>
    <row r="150" spans="30:30" x14ac:dyDescent="0.25">
      <c r="AD150" s="27"/>
    </row>
    <row r="151" spans="30:30" x14ac:dyDescent="0.25">
      <c r="AD151" s="27"/>
    </row>
    <row r="152" spans="30:30" x14ac:dyDescent="0.25">
      <c r="AD152" s="27"/>
    </row>
    <row r="153" spans="30:30" x14ac:dyDescent="0.25">
      <c r="AD153" s="27"/>
    </row>
    <row r="154" spans="30:30" x14ac:dyDescent="0.25">
      <c r="AD154" s="27"/>
    </row>
    <row r="155" spans="30:30" x14ac:dyDescent="0.25">
      <c r="AD155" s="27"/>
    </row>
    <row r="156" spans="30:30" x14ac:dyDescent="0.25">
      <c r="AD156" s="27"/>
    </row>
    <row r="157" spans="30:30" x14ac:dyDescent="0.25">
      <c r="AD157" s="27"/>
    </row>
    <row r="158" spans="30:30" x14ac:dyDescent="0.25">
      <c r="AD158" s="27"/>
    </row>
    <row r="159" spans="30:30" x14ac:dyDescent="0.25">
      <c r="AD159" s="27"/>
    </row>
    <row r="160" spans="30:30" x14ac:dyDescent="0.25">
      <c r="AD160" s="27"/>
    </row>
    <row r="161" spans="30:30" x14ac:dyDescent="0.25">
      <c r="AD161" s="27"/>
    </row>
    <row r="162" spans="30:30" x14ac:dyDescent="0.25">
      <c r="AD162" s="27"/>
    </row>
    <row r="163" spans="30:30" x14ac:dyDescent="0.25">
      <c r="AD163" s="27"/>
    </row>
    <row r="164" spans="30:30" x14ac:dyDescent="0.25">
      <c r="AD164" s="27"/>
    </row>
    <row r="165" spans="30:30" x14ac:dyDescent="0.25">
      <c r="AD165" s="27"/>
    </row>
    <row r="166" spans="30:30" x14ac:dyDescent="0.25">
      <c r="AD166" s="27"/>
    </row>
    <row r="167" spans="30:30" x14ac:dyDescent="0.25">
      <c r="AD167" s="27"/>
    </row>
    <row r="168" spans="30:30" x14ac:dyDescent="0.25">
      <c r="AD168" s="27"/>
    </row>
    <row r="169" spans="30:30" x14ac:dyDescent="0.25">
      <c r="AD169" s="27"/>
    </row>
    <row r="170" spans="30:30" x14ac:dyDescent="0.25">
      <c r="AD170" s="27"/>
    </row>
    <row r="171" spans="30:30" x14ac:dyDescent="0.25">
      <c r="AD171" s="27"/>
    </row>
    <row r="172" spans="30:30" x14ac:dyDescent="0.25">
      <c r="AD172" s="27"/>
    </row>
    <row r="173" spans="30:30" x14ac:dyDescent="0.25">
      <c r="AD173" s="27"/>
    </row>
    <row r="174" spans="30:30" x14ac:dyDescent="0.25">
      <c r="AD174" s="27"/>
    </row>
    <row r="175" spans="30:30" x14ac:dyDescent="0.25">
      <c r="AD175" s="27"/>
    </row>
    <row r="176" spans="30:30" x14ac:dyDescent="0.25">
      <c r="AD176" s="27"/>
    </row>
    <row r="177" spans="30:30" x14ac:dyDescent="0.25">
      <c r="AD177" s="27"/>
    </row>
    <row r="178" spans="30:30" x14ac:dyDescent="0.25">
      <c r="AD178" s="27"/>
    </row>
    <row r="179" spans="30:30" x14ac:dyDescent="0.25">
      <c r="AD179" s="27"/>
    </row>
    <row r="180" spans="30:30" x14ac:dyDescent="0.25">
      <c r="AD180" s="27"/>
    </row>
    <row r="181" spans="30:30" x14ac:dyDescent="0.25">
      <c r="AD181" s="27"/>
    </row>
    <row r="182" spans="30:30" x14ac:dyDescent="0.25">
      <c r="AD182" s="27"/>
    </row>
    <row r="183" spans="30:30" x14ac:dyDescent="0.25">
      <c r="AD183" s="27"/>
    </row>
    <row r="184" spans="30:30" x14ac:dyDescent="0.25">
      <c r="AD184" s="27"/>
    </row>
    <row r="185" spans="30:30" x14ac:dyDescent="0.25">
      <c r="AD185" s="27"/>
    </row>
    <row r="186" spans="30:30" x14ac:dyDescent="0.25">
      <c r="AD186" s="27"/>
    </row>
    <row r="187" spans="30:30" x14ac:dyDescent="0.25">
      <c r="AD187" s="27"/>
    </row>
    <row r="188" spans="30:30" x14ac:dyDescent="0.25">
      <c r="AD188" s="27"/>
    </row>
    <row r="189" spans="30:30" x14ac:dyDescent="0.25">
      <c r="AD189" s="27"/>
    </row>
    <row r="190" spans="30:30" x14ac:dyDescent="0.25">
      <c r="AD190" s="27"/>
    </row>
    <row r="191" spans="30:30" x14ac:dyDescent="0.25">
      <c r="AD191" s="27"/>
    </row>
    <row r="192" spans="30:30" x14ac:dyDescent="0.25">
      <c r="AD192" s="27"/>
    </row>
    <row r="193" spans="30:30" x14ac:dyDescent="0.25">
      <c r="AD193" s="27"/>
    </row>
    <row r="194" spans="30:30" x14ac:dyDescent="0.25">
      <c r="AD194" s="27"/>
    </row>
    <row r="195" spans="30:30" x14ac:dyDescent="0.25">
      <c r="AD195" s="27"/>
    </row>
    <row r="196" spans="30:30" x14ac:dyDescent="0.25">
      <c r="AD196" s="27"/>
    </row>
    <row r="197" spans="30:30" x14ac:dyDescent="0.25">
      <c r="AD197" s="27"/>
    </row>
    <row r="198" spans="30:30" x14ac:dyDescent="0.25">
      <c r="AD198" s="27"/>
    </row>
    <row r="199" spans="30:30" x14ac:dyDescent="0.25">
      <c r="AD199" s="27"/>
    </row>
    <row r="200" spans="30:30" x14ac:dyDescent="0.25">
      <c r="AD200" s="27"/>
    </row>
    <row r="201" spans="30:30" x14ac:dyDescent="0.25">
      <c r="AD201" s="27"/>
    </row>
    <row r="202" spans="30:30" x14ac:dyDescent="0.25">
      <c r="AD202" s="27"/>
    </row>
    <row r="203" spans="30:30" x14ac:dyDescent="0.25">
      <c r="AD203" s="27"/>
    </row>
    <row r="204" spans="30:30" x14ac:dyDescent="0.25">
      <c r="AD204" s="27"/>
    </row>
    <row r="205" spans="30:30" x14ac:dyDescent="0.25">
      <c r="AD205" s="27"/>
    </row>
    <row r="206" spans="30:30" x14ac:dyDescent="0.25">
      <c r="AD206" s="27"/>
    </row>
    <row r="207" spans="30:30" x14ac:dyDescent="0.25">
      <c r="AD207" s="27"/>
    </row>
    <row r="208" spans="30:30" x14ac:dyDescent="0.25">
      <c r="AD208" s="27"/>
    </row>
    <row r="209" spans="30:30" x14ac:dyDescent="0.25">
      <c r="AD209" s="27"/>
    </row>
    <row r="210" spans="30:30" x14ac:dyDescent="0.25">
      <c r="AD210" s="27"/>
    </row>
    <row r="211" spans="30:30" x14ac:dyDescent="0.25">
      <c r="AD211" s="27"/>
    </row>
    <row r="212" spans="30:30" x14ac:dyDescent="0.25">
      <c r="AD212" s="27"/>
    </row>
    <row r="213" spans="30:30" x14ac:dyDescent="0.25">
      <c r="AD213" s="27"/>
    </row>
    <row r="214" spans="30:30" x14ac:dyDescent="0.25">
      <c r="AD214" s="27"/>
    </row>
    <row r="215" spans="30:30" x14ac:dyDescent="0.25">
      <c r="AD215" s="27"/>
    </row>
    <row r="216" spans="30:30" x14ac:dyDescent="0.25">
      <c r="AD216" s="27"/>
    </row>
    <row r="217" spans="30:30" x14ac:dyDescent="0.25">
      <c r="AD217" s="27"/>
    </row>
    <row r="218" spans="30:30" x14ac:dyDescent="0.25">
      <c r="AD218" s="27"/>
    </row>
    <row r="219" spans="30:30" x14ac:dyDescent="0.25">
      <c r="AD219" s="27"/>
    </row>
    <row r="220" spans="30:30" x14ac:dyDescent="0.25">
      <c r="AD220" s="27"/>
    </row>
    <row r="221" spans="30:30" x14ac:dyDescent="0.25">
      <c r="AD221" s="27"/>
    </row>
    <row r="222" spans="30:30" x14ac:dyDescent="0.25">
      <c r="AD222" s="27"/>
    </row>
    <row r="223" spans="30:30" x14ac:dyDescent="0.25">
      <c r="AD223" s="27"/>
    </row>
    <row r="224" spans="30:30" x14ac:dyDescent="0.25">
      <c r="AD224" s="27"/>
    </row>
    <row r="225" spans="30:30" x14ac:dyDescent="0.25">
      <c r="AD225" s="27"/>
    </row>
    <row r="226" spans="30:30" x14ac:dyDescent="0.25">
      <c r="AD226" s="27"/>
    </row>
    <row r="227" spans="30:30" x14ac:dyDescent="0.25">
      <c r="AD227" s="27"/>
    </row>
    <row r="228" spans="30:30" x14ac:dyDescent="0.25">
      <c r="AD228" s="27"/>
    </row>
    <row r="229" spans="30:30" x14ac:dyDescent="0.25">
      <c r="AD229" s="27"/>
    </row>
    <row r="230" spans="30:30" x14ac:dyDescent="0.25">
      <c r="AD230" s="27"/>
    </row>
    <row r="231" spans="30:30" x14ac:dyDescent="0.25">
      <c r="AD231" s="27"/>
    </row>
    <row r="232" spans="30:30" x14ac:dyDescent="0.25">
      <c r="AD232" s="27"/>
    </row>
    <row r="233" spans="30:30" x14ac:dyDescent="0.25">
      <c r="AD233" s="27"/>
    </row>
    <row r="234" spans="30:30" x14ac:dyDescent="0.25">
      <c r="AD234" s="27"/>
    </row>
    <row r="235" spans="30:30" x14ac:dyDescent="0.25">
      <c r="AD235" s="27"/>
    </row>
    <row r="236" spans="30:30" x14ac:dyDescent="0.25">
      <c r="AD236" s="27"/>
    </row>
    <row r="237" spans="30:30" x14ac:dyDescent="0.25">
      <c r="AD237" s="27"/>
    </row>
    <row r="238" spans="30:30" x14ac:dyDescent="0.25">
      <c r="AD238" s="27"/>
    </row>
    <row r="239" spans="30:30" x14ac:dyDescent="0.25">
      <c r="AD239" s="27"/>
    </row>
    <row r="240" spans="30:30" x14ac:dyDescent="0.25">
      <c r="AD240" s="27"/>
    </row>
    <row r="241" spans="30:30" x14ac:dyDescent="0.25">
      <c r="AD241" s="27"/>
    </row>
    <row r="242" spans="30:30" x14ac:dyDescent="0.25">
      <c r="AD242" s="27"/>
    </row>
    <row r="243" spans="30:30" x14ac:dyDescent="0.25">
      <c r="AD243" s="27"/>
    </row>
    <row r="244" spans="30:30" x14ac:dyDescent="0.25">
      <c r="AD244" s="27"/>
    </row>
    <row r="245" spans="30:30" x14ac:dyDescent="0.25">
      <c r="AD245" s="27"/>
    </row>
    <row r="246" spans="30:30" x14ac:dyDescent="0.25">
      <c r="AD246" s="27"/>
    </row>
    <row r="247" spans="30:30" x14ac:dyDescent="0.25">
      <c r="AD247" s="27"/>
    </row>
    <row r="248" spans="30:30" x14ac:dyDescent="0.25">
      <c r="AD248" s="27"/>
    </row>
    <row r="249" spans="30:30" x14ac:dyDescent="0.25">
      <c r="AD249" s="27"/>
    </row>
    <row r="250" spans="30:30" x14ac:dyDescent="0.25">
      <c r="AD250" s="27"/>
    </row>
    <row r="251" spans="30:30" x14ac:dyDescent="0.25">
      <c r="AD251" s="27"/>
    </row>
    <row r="252" spans="30:30" x14ac:dyDescent="0.25">
      <c r="AD252" s="27"/>
    </row>
    <row r="253" spans="30:30" x14ac:dyDescent="0.25">
      <c r="AD253" s="27"/>
    </row>
    <row r="254" spans="30:30" x14ac:dyDescent="0.25">
      <c r="AD254" s="27"/>
    </row>
    <row r="255" spans="30:30" x14ac:dyDescent="0.25">
      <c r="AD255" s="27"/>
    </row>
    <row r="256" spans="30:30" x14ac:dyDescent="0.25">
      <c r="AD256" s="27"/>
    </row>
    <row r="257" spans="30:30" x14ac:dyDescent="0.25">
      <c r="AD257" s="27"/>
    </row>
    <row r="258" spans="30:30" x14ac:dyDescent="0.25">
      <c r="AD258" s="27"/>
    </row>
    <row r="259" spans="30:30" x14ac:dyDescent="0.25">
      <c r="AD259" s="27"/>
    </row>
    <row r="260" spans="30:30" x14ac:dyDescent="0.25">
      <c r="AD260" s="27"/>
    </row>
    <row r="261" spans="30:30" x14ac:dyDescent="0.25">
      <c r="AD261" s="27"/>
    </row>
    <row r="262" spans="30:30" x14ac:dyDescent="0.25">
      <c r="AD262" s="27"/>
    </row>
    <row r="263" spans="30:30" x14ac:dyDescent="0.25">
      <c r="AD263" s="27"/>
    </row>
    <row r="264" spans="30:30" x14ac:dyDescent="0.25">
      <c r="AD264" s="27"/>
    </row>
    <row r="265" spans="30:30" x14ac:dyDescent="0.25">
      <c r="AD265" s="27"/>
    </row>
    <row r="266" spans="30:30" x14ac:dyDescent="0.25">
      <c r="AD266" s="27"/>
    </row>
    <row r="267" spans="30:30" x14ac:dyDescent="0.25">
      <c r="AD267" s="27"/>
    </row>
    <row r="268" spans="30:30" x14ac:dyDescent="0.25">
      <c r="AD268" s="27"/>
    </row>
    <row r="269" spans="30:30" x14ac:dyDescent="0.25">
      <c r="AD269" s="27"/>
    </row>
    <row r="270" spans="30:30" x14ac:dyDescent="0.25">
      <c r="AD270" s="27"/>
    </row>
    <row r="271" spans="30:30" x14ac:dyDescent="0.25">
      <c r="AD271" s="27"/>
    </row>
    <row r="272" spans="30:30" x14ac:dyDescent="0.25">
      <c r="AD272" s="27"/>
    </row>
    <row r="273" spans="30:30" x14ac:dyDescent="0.25">
      <c r="AD273" s="27"/>
    </row>
    <row r="274" spans="30:30" x14ac:dyDescent="0.25">
      <c r="AD274" s="27"/>
    </row>
    <row r="275" spans="30:30" x14ac:dyDescent="0.25">
      <c r="AD275" s="27"/>
    </row>
    <row r="276" spans="30:30" x14ac:dyDescent="0.25">
      <c r="AD276" s="27"/>
    </row>
    <row r="277" spans="30:30" x14ac:dyDescent="0.25">
      <c r="AD277" s="27"/>
    </row>
    <row r="278" spans="30:30" x14ac:dyDescent="0.25">
      <c r="AD278" s="27"/>
    </row>
    <row r="279" spans="30:30" x14ac:dyDescent="0.25">
      <c r="AD279" s="27"/>
    </row>
    <row r="280" spans="30:30" x14ac:dyDescent="0.25">
      <c r="AD280" s="27"/>
    </row>
    <row r="281" spans="30:30" x14ac:dyDescent="0.25">
      <c r="AD281" s="27"/>
    </row>
    <row r="282" spans="30:30" x14ac:dyDescent="0.25">
      <c r="AD282" s="27"/>
    </row>
    <row r="283" spans="30:30" x14ac:dyDescent="0.25">
      <c r="AD283" s="27"/>
    </row>
    <row r="284" spans="30:30" x14ac:dyDescent="0.25">
      <c r="AD284" s="27"/>
    </row>
    <row r="285" spans="30:30" x14ac:dyDescent="0.25">
      <c r="AD285" s="27"/>
    </row>
    <row r="286" spans="30:30" x14ac:dyDescent="0.25">
      <c r="AD286" s="27"/>
    </row>
    <row r="287" spans="30:30" x14ac:dyDescent="0.25">
      <c r="AD287" s="27"/>
    </row>
    <row r="288" spans="30:30" x14ac:dyDescent="0.25">
      <c r="AD288" s="27"/>
    </row>
    <row r="289" spans="30:30" x14ac:dyDescent="0.25">
      <c r="AD289" s="27"/>
    </row>
    <row r="290" spans="30:30" x14ac:dyDescent="0.25">
      <c r="AD290" s="27"/>
    </row>
    <row r="291" spans="30:30" x14ac:dyDescent="0.25">
      <c r="AD291" s="27"/>
    </row>
    <row r="292" spans="30:30" x14ac:dyDescent="0.25">
      <c r="AD292" s="27"/>
    </row>
    <row r="293" spans="30:30" x14ac:dyDescent="0.25">
      <c r="AD293" s="27"/>
    </row>
    <row r="294" spans="30:30" x14ac:dyDescent="0.25">
      <c r="AD294" s="27"/>
    </row>
    <row r="295" spans="30:30" x14ac:dyDescent="0.25">
      <c r="AD295" s="27"/>
    </row>
    <row r="296" spans="30:30" x14ac:dyDescent="0.25">
      <c r="AD296" s="27"/>
    </row>
    <row r="297" spans="30:30" x14ac:dyDescent="0.25">
      <c r="AD297" s="27"/>
    </row>
    <row r="298" spans="30:30" x14ac:dyDescent="0.25">
      <c r="AD298" s="27"/>
    </row>
    <row r="299" spans="30:30" x14ac:dyDescent="0.25">
      <c r="AD299" s="27"/>
    </row>
    <row r="300" spans="30:30" x14ac:dyDescent="0.25">
      <c r="AD300" s="27"/>
    </row>
    <row r="301" spans="30:30" x14ac:dyDescent="0.25">
      <c r="AD301" s="27"/>
    </row>
    <row r="302" spans="30:30" x14ac:dyDescent="0.25">
      <c r="AD302" s="27"/>
    </row>
    <row r="303" spans="30:30" x14ac:dyDescent="0.25">
      <c r="AD303" s="27"/>
    </row>
    <row r="304" spans="30:30" x14ac:dyDescent="0.25">
      <c r="AD304" s="27"/>
    </row>
    <row r="305" spans="30:30" x14ac:dyDescent="0.25">
      <c r="AD305" s="27"/>
    </row>
    <row r="306" spans="30:30" x14ac:dyDescent="0.25">
      <c r="AD306" s="27"/>
    </row>
    <row r="307" spans="30:30" x14ac:dyDescent="0.25">
      <c r="AD307" s="27"/>
    </row>
    <row r="308" spans="30:30" x14ac:dyDescent="0.25">
      <c r="AD308" s="27"/>
    </row>
    <row r="309" spans="30:30" x14ac:dyDescent="0.25">
      <c r="AD309" s="27"/>
    </row>
    <row r="310" spans="30:30" x14ac:dyDescent="0.25">
      <c r="AD310" s="27"/>
    </row>
    <row r="311" spans="30:30" x14ac:dyDescent="0.25">
      <c r="AD311" s="27"/>
    </row>
    <row r="312" spans="30:30" x14ac:dyDescent="0.25">
      <c r="AD312" s="27"/>
    </row>
    <row r="313" spans="30:30" x14ac:dyDescent="0.25">
      <c r="AD313" s="27"/>
    </row>
    <row r="314" spans="30:30" x14ac:dyDescent="0.25">
      <c r="AD314" s="27"/>
    </row>
    <row r="315" spans="30:30" x14ac:dyDescent="0.25">
      <c r="AD315" s="27"/>
    </row>
    <row r="316" spans="30:30" x14ac:dyDescent="0.25">
      <c r="AD316" s="27"/>
    </row>
    <row r="317" spans="30:30" x14ac:dyDescent="0.25">
      <c r="AD317" s="27"/>
    </row>
    <row r="318" spans="30:30" x14ac:dyDescent="0.25">
      <c r="AD318" s="27"/>
    </row>
    <row r="319" spans="30:30" x14ac:dyDescent="0.25">
      <c r="AD319" s="27"/>
    </row>
    <row r="320" spans="30:30" x14ac:dyDescent="0.25">
      <c r="AD320" s="27"/>
    </row>
    <row r="321" spans="30:30" x14ac:dyDescent="0.25">
      <c r="AD321" s="27"/>
    </row>
    <row r="322" spans="30:30" x14ac:dyDescent="0.25">
      <c r="AD322" s="27"/>
    </row>
    <row r="323" spans="30:30" x14ac:dyDescent="0.25">
      <c r="AD323" s="27"/>
    </row>
    <row r="324" spans="30:30" x14ac:dyDescent="0.25">
      <c r="AD324" s="27"/>
    </row>
    <row r="325" spans="30:30" x14ac:dyDescent="0.25">
      <c r="AD325" s="27"/>
    </row>
    <row r="326" spans="30:30" x14ac:dyDescent="0.25">
      <c r="AD326" s="27"/>
    </row>
    <row r="327" spans="30:30" x14ac:dyDescent="0.25">
      <c r="AD327" s="27"/>
    </row>
    <row r="328" spans="30:30" x14ac:dyDescent="0.25">
      <c r="AD328" s="27"/>
    </row>
    <row r="329" spans="30:30" x14ac:dyDescent="0.25">
      <c r="AD329" s="27"/>
    </row>
    <row r="330" spans="30:30" x14ac:dyDescent="0.25">
      <c r="AD330" s="27"/>
    </row>
    <row r="331" spans="30:30" x14ac:dyDescent="0.25">
      <c r="AD331" s="27"/>
    </row>
    <row r="332" spans="30:30" x14ac:dyDescent="0.25">
      <c r="AD332" s="27"/>
    </row>
    <row r="333" spans="30:30" x14ac:dyDescent="0.25">
      <c r="AD333" s="27"/>
    </row>
    <row r="334" spans="30:30" x14ac:dyDescent="0.25">
      <c r="AD334" s="27"/>
    </row>
    <row r="335" spans="30:30" x14ac:dyDescent="0.25">
      <c r="AD335" s="27"/>
    </row>
    <row r="336" spans="30:30" x14ac:dyDescent="0.25">
      <c r="AD336" s="27"/>
    </row>
    <row r="337" spans="30:30" x14ac:dyDescent="0.25">
      <c r="AD337" s="27"/>
    </row>
    <row r="338" spans="30:30" x14ac:dyDescent="0.25">
      <c r="AD338" s="27"/>
    </row>
    <row r="339" spans="30:30" x14ac:dyDescent="0.25">
      <c r="AD339" s="27"/>
    </row>
    <row r="340" spans="30:30" x14ac:dyDescent="0.25">
      <c r="AD340" s="27"/>
    </row>
    <row r="341" spans="30:30" x14ac:dyDescent="0.25">
      <c r="AD341" s="27"/>
    </row>
    <row r="342" spans="30:30" x14ac:dyDescent="0.25">
      <c r="AD342" s="27"/>
    </row>
    <row r="343" spans="30:30" x14ac:dyDescent="0.25">
      <c r="AD343" s="27"/>
    </row>
    <row r="344" spans="30:30" x14ac:dyDescent="0.25">
      <c r="AD344" s="27"/>
    </row>
    <row r="345" spans="30:30" x14ac:dyDescent="0.25">
      <c r="AD345" s="27"/>
    </row>
    <row r="346" spans="30:30" x14ac:dyDescent="0.25">
      <c r="AD346" s="27"/>
    </row>
    <row r="347" spans="30:30" x14ac:dyDescent="0.25">
      <c r="AD347" s="27"/>
    </row>
    <row r="348" spans="30:30" x14ac:dyDescent="0.25">
      <c r="AD348" s="27"/>
    </row>
    <row r="349" spans="30:30" x14ac:dyDescent="0.25">
      <c r="AD349" s="27"/>
    </row>
    <row r="350" spans="30:30" x14ac:dyDescent="0.25">
      <c r="AD350" s="27"/>
    </row>
    <row r="351" spans="30:30" x14ac:dyDescent="0.25">
      <c r="AD351" s="27"/>
    </row>
    <row r="352" spans="30:30" x14ac:dyDescent="0.25">
      <c r="AD352" s="27"/>
    </row>
    <row r="353" spans="30:30" x14ac:dyDescent="0.25">
      <c r="AD353" s="27"/>
    </row>
    <row r="354" spans="30:30" x14ac:dyDescent="0.25">
      <c r="AD354" s="27"/>
    </row>
    <row r="355" spans="30:30" x14ac:dyDescent="0.25">
      <c r="AD355" s="27"/>
    </row>
    <row r="356" spans="30:30" x14ac:dyDescent="0.25">
      <c r="AD356" s="27"/>
    </row>
    <row r="357" spans="30:30" x14ac:dyDescent="0.25">
      <c r="AD357" s="27"/>
    </row>
    <row r="358" spans="30:30" x14ac:dyDescent="0.25">
      <c r="AD358" s="27"/>
    </row>
    <row r="359" spans="30:30" x14ac:dyDescent="0.25">
      <c r="AD359" s="27"/>
    </row>
    <row r="360" spans="30:30" x14ac:dyDescent="0.25">
      <c r="AD360" s="27"/>
    </row>
    <row r="361" spans="30:30" x14ac:dyDescent="0.25">
      <c r="AD361" s="27"/>
    </row>
    <row r="362" spans="30:30" x14ac:dyDescent="0.25">
      <c r="AD362" s="27"/>
    </row>
    <row r="363" spans="30:30" x14ac:dyDescent="0.25">
      <c r="AD363" s="27"/>
    </row>
    <row r="364" spans="30:30" x14ac:dyDescent="0.25">
      <c r="AD364" s="27"/>
    </row>
    <row r="365" spans="30:30" x14ac:dyDescent="0.25">
      <c r="AD365" s="27"/>
    </row>
    <row r="366" spans="30:30" x14ac:dyDescent="0.25">
      <c r="AD366" s="27"/>
    </row>
    <row r="367" spans="30:30" x14ac:dyDescent="0.25">
      <c r="AD367" s="27"/>
    </row>
    <row r="368" spans="30:30" x14ac:dyDescent="0.25">
      <c r="AD368" s="27"/>
    </row>
    <row r="369" spans="30:30" x14ac:dyDescent="0.25">
      <c r="AD369" s="27"/>
    </row>
    <row r="370" spans="30:30" x14ac:dyDescent="0.25">
      <c r="AD370" s="27"/>
    </row>
    <row r="371" spans="30:30" x14ac:dyDescent="0.25">
      <c r="AD371" s="27"/>
    </row>
    <row r="372" spans="30:30" x14ac:dyDescent="0.25">
      <c r="AD372" s="27"/>
    </row>
    <row r="373" spans="30:30" x14ac:dyDescent="0.25">
      <c r="AD373" s="27"/>
    </row>
    <row r="374" spans="30:30" x14ac:dyDescent="0.25">
      <c r="AD374" s="27"/>
    </row>
    <row r="375" spans="30:30" x14ac:dyDescent="0.25">
      <c r="AD375" s="27"/>
    </row>
    <row r="376" spans="30:30" x14ac:dyDescent="0.25">
      <c r="AD376" s="27"/>
    </row>
    <row r="377" spans="30:30" x14ac:dyDescent="0.25">
      <c r="AD377" s="27"/>
    </row>
    <row r="378" spans="30:30" x14ac:dyDescent="0.25">
      <c r="AD378" s="27"/>
    </row>
    <row r="379" spans="30:30" x14ac:dyDescent="0.25">
      <c r="AD379" s="27"/>
    </row>
    <row r="380" spans="30:30" x14ac:dyDescent="0.25">
      <c r="AD380" s="27"/>
    </row>
    <row r="381" spans="30:30" x14ac:dyDescent="0.25">
      <c r="AD381" s="27"/>
    </row>
    <row r="382" spans="30:30" x14ac:dyDescent="0.25">
      <c r="AD382" s="27"/>
    </row>
    <row r="383" spans="30:30" x14ac:dyDescent="0.25">
      <c r="AD383" s="27"/>
    </row>
    <row r="384" spans="30:30" x14ac:dyDescent="0.25">
      <c r="AD384" s="27"/>
    </row>
    <row r="385" spans="30:30" x14ac:dyDescent="0.25">
      <c r="AD385" s="27"/>
    </row>
    <row r="386" spans="30:30" x14ac:dyDescent="0.25">
      <c r="AD386" s="27"/>
    </row>
    <row r="387" spans="30:30" x14ac:dyDescent="0.25">
      <c r="AD387" s="27"/>
    </row>
    <row r="388" spans="30:30" x14ac:dyDescent="0.25">
      <c r="AD388" s="27"/>
    </row>
    <row r="389" spans="30:30" x14ac:dyDescent="0.25">
      <c r="AD389" s="27"/>
    </row>
    <row r="390" spans="30:30" x14ac:dyDescent="0.25">
      <c r="AD390" s="27"/>
    </row>
    <row r="391" spans="30:30" x14ac:dyDescent="0.25">
      <c r="AD391" s="27"/>
    </row>
    <row r="392" spans="30:30" x14ac:dyDescent="0.25">
      <c r="AD392" s="27"/>
    </row>
    <row r="393" spans="30:30" x14ac:dyDescent="0.25">
      <c r="AD393" s="27"/>
    </row>
    <row r="394" spans="30:30" x14ac:dyDescent="0.25">
      <c r="AD394" s="27"/>
    </row>
    <row r="395" spans="30:30" x14ac:dyDescent="0.25">
      <c r="AD395" s="27"/>
    </row>
    <row r="396" spans="30:30" x14ac:dyDescent="0.25">
      <c r="AD396" s="27"/>
    </row>
    <row r="397" spans="30:30" x14ac:dyDescent="0.25">
      <c r="AD397" s="27"/>
    </row>
    <row r="398" spans="30:30" x14ac:dyDescent="0.25">
      <c r="AD398" s="27"/>
    </row>
    <row r="399" spans="30:30" x14ac:dyDescent="0.25">
      <c r="AD399" s="27"/>
    </row>
    <row r="400" spans="30:30" x14ac:dyDescent="0.25">
      <c r="AD400" s="27"/>
    </row>
    <row r="401" spans="30:30" x14ac:dyDescent="0.25">
      <c r="AD401" s="27"/>
    </row>
    <row r="402" spans="30:30" x14ac:dyDescent="0.25">
      <c r="AD402" s="27"/>
    </row>
    <row r="403" spans="30:30" x14ac:dyDescent="0.25">
      <c r="AD403" s="27"/>
    </row>
    <row r="404" spans="30:30" x14ac:dyDescent="0.25">
      <c r="AD404" s="27"/>
    </row>
    <row r="405" spans="30:30" x14ac:dyDescent="0.25">
      <c r="AD405" s="27"/>
    </row>
    <row r="406" spans="30:30" x14ac:dyDescent="0.25">
      <c r="AD406" s="27"/>
    </row>
    <row r="407" spans="30:30" x14ac:dyDescent="0.25">
      <c r="AD407" s="27"/>
    </row>
    <row r="408" spans="30:30" x14ac:dyDescent="0.25">
      <c r="AD408" s="27"/>
    </row>
    <row r="409" spans="30:30" x14ac:dyDescent="0.25">
      <c r="AD409" s="27"/>
    </row>
    <row r="410" spans="30:30" x14ac:dyDescent="0.25">
      <c r="AD410" s="27"/>
    </row>
    <row r="411" spans="30:30" x14ac:dyDescent="0.25">
      <c r="AD411" s="27"/>
    </row>
    <row r="412" spans="30:30" x14ac:dyDescent="0.25">
      <c r="AD412" s="27"/>
    </row>
    <row r="413" spans="30:30" x14ac:dyDescent="0.25">
      <c r="AD413" s="27"/>
    </row>
    <row r="414" spans="30:30" x14ac:dyDescent="0.25">
      <c r="AD414" s="27"/>
    </row>
    <row r="415" spans="30:30" x14ac:dyDescent="0.25">
      <c r="AD415" s="27"/>
    </row>
    <row r="416" spans="30:30" x14ac:dyDescent="0.25">
      <c r="AD416" s="27"/>
    </row>
    <row r="417" spans="30:30" x14ac:dyDescent="0.25">
      <c r="AD417" s="27"/>
    </row>
    <row r="418" spans="30:30" x14ac:dyDescent="0.25">
      <c r="AD418" s="27"/>
    </row>
    <row r="419" spans="30:30" x14ac:dyDescent="0.25">
      <c r="AD419" s="27"/>
    </row>
    <row r="420" spans="30:30" x14ac:dyDescent="0.25">
      <c r="AD420" s="27"/>
    </row>
    <row r="421" spans="30:30" x14ac:dyDescent="0.25">
      <c r="AD421" s="27"/>
    </row>
    <row r="422" spans="30:30" x14ac:dyDescent="0.25">
      <c r="AD422" s="27"/>
    </row>
    <row r="423" spans="30:30" x14ac:dyDescent="0.25">
      <c r="AD423" s="27"/>
    </row>
    <row r="424" spans="30:30" x14ac:dyDescent="0.25">
      <c r="AD424" s="27"/>
    </row>
    <row r="425" spans="30:30" x14ac:dyDescent="0.25">
      <c r="AD425" s="27"/>
    </row>
    <row r="426" spans="30:30" x14ac:dyDescent="0.25">
      <c r="AD426" s="27"/>
    </row>
    <row r="427" spans="30:30" x14ac:dyDescent="0.25">
      <c r="AD427" s="27"/>
    </row>
    <row r="428" spans="30:30" x14ac:dyDescent="0.25">
      <c r="AD428" s="27"/>
    </row>
    <row r="429" spans="30:30" x14ac:dyDescent="0.25">
      <c r="AD429" s="27"/>
    </row>
    <row r="430" spans="30:30" x14ac:dyDescent="0.25">
      <c r="AD430" s="27"/>
    </row>
    <row r="431" spans="30:30" x14ac:dyDescent="0.25">
      <c r="AD431" s="27"/>
    </row>
    <row r="432" spans="30:30" x14ac:dyDescent="0.25">
      <c r="AD432" s="27"/>
    </row>
    <row r="433" spans="30:30" x14ac:dyDescent="0.25">
      <c r="AD433" s="27"/>
    </row>
    <row r="434" spans="30:30" x14ac:dyDescent="0.25">
      <c r="AD434" s="27"/>
    </row>
    <row r="435" spans="30:30" x14ac:dyDescent="0.25">
      <c r="AD435" s="27"/>
    </row>
    <row r="436" spans="30:30" x14ac:dyDescent="0.25">
      <c r="AD436" s="27"/>
    </row>
    <row r="437" spans="30:30" x14ac:dyDescent="0.25">
      <c r="AD437" s="27"/>
    </row>
    <row r="438" spans="30:30" x14ac:dyDescent="0.25">
      <c r="AD438" s="27"/>
    </row>
    <row r="439" spans="30:30" x14ac:dyDescent="0.25">
      <c r="AD439" s="27"/>
    </row>
    <row r="440" spans="30:30" x14ac:dyDescent="0.25">
      <c r="AD440" s="27"/>
    </row>
    <row r="441" spans="30:30" x14ac:dyDescent="0.25">
      <c r="AD441" s="27"/>
    </row>
    <row r="442" spans="30:30" x14ac:dyDescent="0.25">
      <c r="AD442" s="27"/>
    </row>
    <row r="443" spans="30:30" x14ac:dyDescent="0.25">
      <c r="AD443" s="27"/>
    </row>
    <row r="444" spans="30:30" x14ac:dyDescent="0.25">
      <c r="AD444" s="27"/>
    </row>
    <row r="445" spans="30:30" x14ac:dyDescent="0.25">
      <c r="AD445" s="27"/>
    </row>
    <row r="446" spans="30:30" x14ac:dyDescent="0.25">
      <c r="AD446" s="27"/>
    </row>
    <row r="447" spans="30:30" x14ac:dyDescent="0.25">
      <c r="AD447" s="27"/>
    </row>
    <row r="448" spans="30:30" x14ac:dyDescent="0.25">
      <c r="AD448" s="27"/>
    </row>
    <row r="449" spans="30:30" x14ac:dyDescent="0.25">
      <c r="AD449" s="27"/>
    </row>
    <row r="450" spans="30:30" x14ac:dyDescent="0.25">
      <c r="AD450" s="27"/>
    </row>
    <row r="451" spans="30:30" x14ac:dyDescent="0.25">
      <c r="AD451" s="27"/>
    </row>
    <row r="452" spans="30:30" x14ac:dyDescent="0.25">
      <c r="AD452" s="27"/>
    </row>
    <row r="453" spans="30:30" x14ac:dyDescent="0.25">
      <c r="AD453" s="27"/>
    </row>
    <row r="454" spans="30:30" x14ac:dyDescent="0.25">
      <c r="AD454" s="27"/>
    </row>
    <row r="455" spans="30:30" x14ac:dyDescent="0.25">
      <c r="AD455" s="27"/>
    </row>
    <row r="456" spans="30:30" x14ac:dyDescent="0.25">
      <c r="AD456" s="27"/>
    </row>
    <row r="457" spans="30:30" x14ac:dyDescent="0.25">
      <c r="AD457" s="27"/>
    </row>
    <row r="458" spans="30:30" x14ac:dyDescent="0.25">
      <c r="AD458" s="27"/>
    </row>
    <row r="459" spans="30:30" x14ac:dyDescent="0.25">
      <c r="AD459" s="27"/>
    </row>
    <row r="460" spans="30:30" x14ac:dyDescent="0.25">
      <c r="AD460" s="27"/>
    </row>
    <row r="461" spans="30:30" x14ac:dyDescent="0.25">
      <c r="AD461" s="27"/>
    </row>
    <row r="462" spans="30:30" x14ac:dyDescent="0.25">
      <c r="AD462" s="27"/>
    </row>
    <row r="463" spans="30:30" x14ac:dyDescent="0.25">
      <c r="AD463" s="27"/>
    </row>
    <row r="464" spans="30:30" x14ac:dyDescent="0.25">
      <c r="AD464" s="27"/>
    </row>
    <row r="465" spans="30:30" x14ac:dyDescent="0.25">
      <c r="AD465" s="27"/>
    </row>
    <row r="466" spans="30:30" x14ac:dyDescent="0.25">
      <c r="AD466" s="27"/>
    </row>
    <row r="467" spans="30:30" x14ac:dyDescent="0.25">
      <c r="AD467" s="27"/>
    </row>
    <row r="468" spans="30:30" x14ac:dyDescent="0.25">
      <c r="AD468" s="27"/>
    </row>
    <row r="469" spans="30:30" x14ac:dyDescent="0.25">
      <c r="AD469" s="27"/>
    </row>
    <row r="470" spans="30:30" x14ac:dyDescent="0.25">
      <c r="AD470" s="27"/>
    </row>
    <row r="471" spans="30:30" x14ac:dyDescent="0.25">
      <c r="AD471" s="27"/>
    </row>
    <row r="472" spans="30:30" x14ac:dyDescent="0.25">
      <c r="AD472" s="27"/>
    </row>
    <row r="473" spans="30:30" x14ac:dyDescent="0.25">
      <c r="AD473" s="27"/>
    </row>
    <row r="474" spans="30:30" x14ac:dyDescent="0.25">
      <c r="AD474" s="27"/>
    </row>
    <row r="475" spans="30:30" x14ac:dyDescent="0.25">
      <c r="AD475" s="27"/>
    </row>
    <row r="476" spans="30:30" x14ac:dyDescent="0.25">
      <c r="AD476" s="27"/>
    </row>
    <row r="477" spans="30:30" x14ac:dyDescent="0.25">
      <c r="AD477" s="27"/>
    </row>
    <row r="478" spans="30:30" x14ac:dyDescent="0.25">
      <c r="AD478" s="27"/>
    </row>
    <row r="479" spans="30:30" x14ac:dyDescent="0.25">
      <c r="AD479" s="27"/>
    </row>
    <row r="480" spans="30:30" x14ac:dyDescent="0.25">
      <c r="AD480" s="27"/>
    </row>
    <row r="481" spans="30:30" x14ac:dyDescent="0.25">
      <c r="AD481" s="27"/>
    </row>
    <row r="482" spans="30:30" x14ac:dyDescent="0.25">
      <c r="AD482" s="27"/>
    </row>
    <row r="483" spans="30:30" x14ac:dyDescent="0.25">
      <c r="AD483" s="27"/>
    </row>
    <row r="484" spans="30:30" x14ac:dyDescent="0.25">
      <c r="AD484" s="27"/>
    </row>
    <row r="485" spans="30:30" x14ac:dyDescent="0.25">
      <c r="AD485" s="27"/>
    </row>
    <row r="486" spans="30:30" x14ac:dyDescent="0.25">
      <c r="AD486" s="27"/>
    </row>
    <row r="487" spans="30:30" x14ac:dyDescent="0.25">
      <c r="AD487" s="27"/>
    </row>
    <row r="488" spans="30:30" x14ac:dyDescent="0.25">
      <c r="AD488" s="27"/>
    </row>
    <row r="489" spans="30:30" x14ac:dyDescent="0.25">
      <c r="AD489" s="27"/>
    </row>
    <row r="490" spans="30:30" x14ac:dyDescent="0.25">
      <c r="AD490" s="27"/>
    </row>
    <row r="491" spans="30:30" x14ac:dyDescent="0.25">
      <c r="AD491" s="27"/>
    </row>
    <row r="492" spans="30:30" x14ac:dyDescent="0.25">
      <c r="AD492" s="27"/>
    </row>
    <row r="493" spans="30:30" x14ac:dyDescent="0.25">
      <c r="AD493" s="27"/>
    </row>
    <row r="494" spans="30:30" x14ac:dyDescent="0.25">
      <c r="AD494" s="27"/>
    </row>
    <row r="495" spans="30:30" x14ac:dyDescent="0.25">
      <c r="AD495" s="27"/>
    </row>
    <row r="496" spans="30:30" x14ac:dyDescent="0.25">
      <c r="AD496" s="27"/>
    </row>
    <row r="497" spans="30:30" x14ac:dyDescent="0.25">
      <c r="AD497" s="27"/>
    </row>
    <row r="498" spans="30:30" x14ac:dyDescent="0.25">
      <c r="AD498" s="27"/>
    </row>
    <row r="499" spans="30:30" x14ac:dyDescent="0.25">
      <c r="AD499" s="27"/>
    </row>
    <row r="500" spans="30:30" x14ac:dyDescent="0.25">
      <c r="AD500" s="27"/>
    </row>
    <row r="501" spans="30:30" x14ac:dyDescent="0.25">
      <c r="AD501" s="27"/>
    </row>
    <row r="502" spans="30:30" x14ac:dyDescent="0.25">
      <c r="AD502" s="27"/>
    </row>
    <row r="503" spans="30:30" x14ac:dyDescent="0.25">
      <c r="AD503" s="27"/>
    </row>
    <row r="504" spans="30:30" x14ac:dyDescent="0.25">
      <c r="AD504" s="27"/>
    </row>
    <row r="505" spans="30:30" x14ac:dyDescent="0.25">
      <c r="AD505" s="27"/>
    </row>
    <row r="506" spans="30:30" x14ac:dyDescent="0.25">
      <c r="AD506" s="27"/>
    </row>
    <row r="507" spans="30:30" x14ac:dyDescent="0.25">
      <c r="AD507" s="27"/>
    </row>
    <row r="508" spans="30:30" x14ac:dyDescent="0.25">
      <c r="AD508" s="27"/>
    </row>
    <row r="509" spans="30:30" x14ac:dyDescent="0.25">
      <c r="AD509" s="27"/>
    </row>
    <row r="510" spans="30:30" x14ac:dyDescent="0.25">
      <c r="AD510" s="27"/>
    </row>
    <row r="511" spans="30:30" x14ac:dyDescent="0.25">
      <c r="AD511" s="27"/>
    </row>
    <row r="512" spans="30:30" x14ac:dyDescent="0.25">
      <c r="AD512" s="27"/>
    </row>
    <row r="513" spans="30:30" x14ac:dyDescent="0.25">
      <c r="AD513" s="27"/>
    </row>
    <row r="514" spans="30:30" x14ac:dyDescent="0.25">
      <c r="AD514" s="27"/>
    </row>
    <row r="515" spans="30:30" x14ac:dyDescent="0.25">
      <c r="AD515" s="27"/>
    </row>
    <row r="516" spans="30:30" x14ac:dyDescent="0.25">
      <c r="AD516" s="27"/>
    </row>
    <row r="517" spans="30:30" x14ac:dyDescent="0.25">
      <c r="AD517" s="27"/>
    </row>
    <row r="518" spans="30:30" x14ac:dyDescent="0.25">
      <c r="AD518" s="27"/>
    </row>
    <row r="519" spans="30:30" x14ac:dyDescent="0.25">
      <c r="AD519" s="27"/>
    </row>
    <row r="520" spans="30:30" x14ac:dyDescent="0.25">
      <c r="AD520" s="27"/>
    </row>
    <row r="521" spans="30:30" x14ac:dyDescent="0.25">
      <c r="AD521" s="27"/>
    </row>
    <row r="522" spans="30:30" x14ac:dyDescent="0.25">
      <c r="AD522" s="27"/>
    </row>
    <row r="523" spans="30:30" x14ac:dyDescent="0.25">
      <c r="AD523" s="27"/>
    </row>
    <row r="524" spans="30:30" x14ac:dyDescent="0.25">
      <c r="AD524" s="27"/>
    </row>
    <row r="525" spans="30:30" x14ac:dyDescent="0.25">
      <c r="AD525" s="27"/>
    </row>
    <row r="526" spans="30:30" x14ac:dyDescent="0.25">
      <c r="AD526" s="27"/>
    </row>
    <row r="527" spans="30:30" x14ac:dyDescent="0.25">
      <c r="AD527" s="27"/>
    </row>
    <row r="528" spans="30:30" x14ac:dyDescent="0.25">
      <c r="AD528" s="27"/>
    </row>
    <row r="529" spans="30:30" x14ac:dyDescent="0.25">
      <c r="AD529" s="27"/>
    </row>
    <row r="530" spans="30:30" x14ac:dyDescent="0.25">
      <c r="AD530" s="27"/>
    </row>
    <row r="531" spans="30:30" x14ac:dyDescent="0.25">
      <c r="AD531" s="27"/>
    </row>
    <row r="532" spans="30:30" x14ac:dyDescent="0.25">
      <c r="AD532" s="27"/>
    </row>
    <row r="533" spans="30:30" x14ac:dyDescent="0.25">
      <c r="AD533" s="27"/>
    </row>
    <row r="534" spans="30:30" x14ac:dyDescent="0.25">
      <c r="AD534" s="27"/>
    </row>
    <row r="535" spans="30:30" x14ac:dyDescent="0.25">
      <c r="AD535" s="27"/>
    </row>
    <row r="536" spans="30:30" x14ac:dyDescent="0.25">
      <c r="AD536" s="27"/>
    </row>
    <row r="537" spans="30:30" x14ac:dyDescent="0.25">
      <c r="AD537" s="27"/>
    </row>
    <row r="538" spans="30:30" x14ac:dyDescent="0.25">
      <c r="AD538" s="27"/>
    </row>
    <row r="539" spans="30:30" x14ac:dyDescent="0.25">
      <c r="AD539" s="27"/>
    </row>
    <row r="540" spans="30:30" x14ac:dyDescent="0.25">
      <c r="AD540" s="27"/>
    </row>
    <row r="541" spans="30:30" x14ac:dyDescent="0.25">
      <c r="AD541" s="27"/>
    </row>
    <row r="542" spans="30:30" x14ac:dyDescent="0.25">
      <c r="AD542" s="27"/>
    </row>
    <row r="543" spans="30:30" x14ac:dyDescent="0.25">
      <c r="AD543" s="27"/>
    </row>
    <row r="544" spans="30:30" x14ac:dyDescent="0.25">
      <c r="AD544" s="27"/>
    </row>
    <row r="545" spans="30:30" x14ac:dyDescent="0.25">
      <c r="AD545" s="27"/>
    </row>
    <row r="546" spans="30:30" x14ac:dyDescent="0.25">
      <c r="AD546" s="27"/>
    </row>
    <row r="547" spans="30:30" x14ac:dyDescent="0.25">
      <c r="AD547" s="27"/>
    </row>
    <row r="548" spans="30:30" x14ac:dyDescent="0.25">
      <c r="AD548" s="27"/>
    </row>
    <row r="549" spans="30:30" x14ac:dyDescent="0.25">
      <c r="AD549" s="27"/>
    </row>
    <row r="550" spans="30:30" x14ac:dyDescent="0.25">
      <c r="AD550" s="27"/>
    </row>
    <row r="551" spans="30:30" x14ac:dyDescent="0.25">
      <c r="AD551" s="27"/>
    </row>
    <row r="552" spans="30:30" x14ac:dyDescent="0.25">
      <c r="AD552" s="27"/>
    </row>
    <row r="553" spans="30:30" x14ac:dyDescent="0.25">
      <c r="AD553" s="27"/>
    </row>
    <row r="554" spans="30:30" x14ac:dyDescent="0.25">
      <c r="AD554" s="27"/>
    </row>
    <row r="555" spans="30:30" x14ac:dyDescent="0.25">
      <c r="AD555" s="27"/>
    </row>
    <row r="556" spans="30:30" x14ac:dyDescent="0.25">
      <c r="AD556" s="27"/>
    </row>
    <row r="557" spans="30:30" x14ac:dyDescent="0.25">
      <c r="AD557" s="27"/>
    </row>
    <row r="558" spans="30:30" x14ac:dyDescent="0.25">
      <c r="AD558" s="27"/>
    </row>
    <row r="559" spans="30:30" x14ac:dyDescent="0.25">
      <c r="AD559" s="27"/>
    </row>
    <row r="560" spans="30:30" x14ac:dyDescent="0.25">
      <c r="AD560" s="27"/>
    </row>
    <row r="561" spans="30:30" x14ac:dyDescent="0.25">
      <c r="AD561" s="27"/>
    </row>
    <row r="562" spans="30:30" x14ac:dyDescent="0.25">
      <c r="AD562" s="27"/>
    </row>
    <row r="563" spans="30:30" x14ac:dyDescent="0.25">
      <c r="AD563" s="27"/>
    </row>
    <row r="564" spans="30:30" x14ac:dyDescent="0.25">
      <c r="AD564" s="27"/>
    </row>
    <row r="565" spans="30:30" x14ac:dyDescent="0.25">
      <c r="AD565" s="27"/>
    </row>
    <row r="566" spans="30:30" x14ac:dyDescent="0.25">
      <c r="AD566" s="27"/>
    </row>
    <row r="567" spans="30:30" x14ac:dyDescent="0.25">
      <c r="AD567" s="27"/>
    </row>
    <row r="568" spans="30:30" x14ac:dyDescent="0.25">
      <c r="AD568" s="27"/>
    </row>
    <row r="569" spans="30:30" x14ac:dyDescent="0.25">
      <c r="AD569" s="27"/>
    </row>
    <row r="570" spans="30:30" x14ac:dyDescent="0.25">
      <c r="AD570" s="27"/>
    </row>
    <row r="571" spans="30:30" x14ac:dyDescent="0.25">
      <c r="AD571" s="27"/>
    </row>
    <row r="572" spans="30:30" x14ac:dyDescent="0.25">
      <c r="AD572" s="27"/>
    </row>
    <row r="573" spans="30:30" x14ac:dyDescent="0.25">
      <c r="AD573" s="27"/>
    </row>
    <row r="574" spans="30:30" x14ac:dyDescent="0.25">
      <c r="AD574" s="27"/>
    </row>
    <row r="575" spans="30:30" x14ac:dyDescent="0.25">
      <c r="AD575" s="27"/>
    </row>
    <row r="576" spans="30:30" x14ac:dyDescent="0.25">
      <c r="AD576" s="27"/>
    </row>
    <row r="577" spans="30:30" x14ac:dyDescent="0.25">
      <c r="AD577" s="27"/>
    </row>
    <row r="578" spans="30:30" x14ac:dyDescent="0.25">
      <c r="AD578" s="27"/>
    </row>
    <row r="579" spans="30:30" x14ac:dyDescent="0.25">
      <c r="AD579" s="27"/>
    </row>
    <row r="580" spans="30:30" x14ac:dyDescent="0.25">
      <c r="AD580" s="27"/>
    </row>
    <row r="581" spans="30:30" x14ac:dyDescent="0.25">
      <c r="AD581" s="27"/>
    </row>
    <row r="582" spans="30:30" x14ac:dyDescent="0.25">
      <c r="AD582" s="27"/>
    </row>
    <row r="583" spans="30:30" x14ac:dyDescent="0.25">
      <c r="AD583" s="27"/>
    </row>
    <row r="584" spans="30:30" x14ac:dyDescent="0.25">
      <c r="AD584" s="27"/>
    </row>
    <row r="585" spans="30:30" x14ac:dyDescent="0.25">
      <c r="AD585" s="27"/>
    </row>
    <row r="586" spans="30:30" x14ac:dyDescent="0.25">
      <c r="AD586" s="27"/>
    </row>
    <row r="587" spans="30:30" x14ac:dyDescent="0.25">
      <c r="AD587" s="27"/>
    </row>
    <row r="588" spans="30:30" x14ac:dyDescent="0.25">
      <c r="AD588" s="27"/>
    </row>
    <row r="589" spans="30:30" x14ac:dyDescent="0.25">
      <c r="AD589" s="27"/>
    </row>
    <row r="590" spans="30:30" x14ac:dyDescent="0.25">
      <c r="AD590" s="27"/>
    </row>
    <row r="591" spans="30:30" x14ac:dyDescent="0.25">
      <c r="AD591" s="27"/>
    </row>
    <row r="592" spans="30:30" x14ac:dyDescent="0.25">
      <c r="AD592" s="27"/>
    </row>
    <row r="593" spans="30:30" x14ac:dyDescent="0.25">
      <c r="AD593" s="27"/>
    </row>
    <row r="594" spans="30:30" x14ac:dyDescent="0.25">
      <c r="AD594" s="27"/>
    </row>
    <row r="595" spans="30:30" x14ac:dyDescent="0.25">
      <c r="AD595" s="27"/>
    </row>
    <row r="596" spans="30:30" x14ac:dyDescent="0.25">
      <c r="AD596" s="27"/>
    </row>
    <row r="597" spans="30:30" x14ac:dyDescent="0.25">
      <c r="AD597" s="27"/>
    </row>
    <row r="598" spans="30:30" x14ac:dyDescent="0.25">
      <c r="AD598" s="27"/>
    </row>
    <row r="599" spans="30:30" x14ac:dyDescent="0.25">
      <c r="AD599" s="27"/>
    </row>
    <row r="600" spans="30:30" x14ac:dyDescent="0.25">
      <c r="AD600" s="27"/>
    </row>
    <row r="601" spans="30:30" x14ac:dyDescent="0.25">
      <c r="AD601" s="27"/>
    </row>
    <row r="602" spans="30:30" x14ac:dyDescent="0.25">
      <c r="AD602" s="27"/>
    </row>
    <row r="603" spans="30:30" x14ac:dyDescent="0.25">
      <c r="AD603" s="27"/>
    </row>
    <row r="604" spans="30:30" x14ac:dyDescent="0.25">
      <c r="AD604" s="27"/>
    </row>
    <row r="605" spans="30:30" x14ac:dyDescent="0.25">
      <c r="AD605" s="27"/>
    </row>
    <row r="606" spans="30:30" x14ac:dyDescent="0.25">
      <c r="AD606" s="27"/>
    </row>
    <row r="607" spans="30:30" x14ac:dyDescent="0.25">
      <c r="AD607" s="27"/>
    </row>
    <row r="608" spans="30:30" x14ac:dyDescent="0.25">
      <c r="AD608" s="27"/>
    </row>
    <row r="609" spans="30:30" x14ac:dyDescent="0.25">
      <c r="AD609" s="27"/>
    </row>
    <row r="610" spans="30:30" x14ac:dyDescent="0.25">
      <c r="AD610" s="27"/>
    </row>
    <row r="611" spans="30:30" x14ac:dyDescent="0.25">
      <c r="AD611" s="27"/>
    </row>
    <row r="612" spans="30:30" x14ac:dyDescent="0.25">
      <c r="AD612" s="27"/>
    </row>
    <row r="613" spans="30:30" x14ac:dyDescent="0.25">
      <c r="AD613" s="27"/>
    </row>
    <row r="614" spans="30:30" x14ac:dyDescent="0.25">
      <c r="AD614" s="27"/>
    </row>
    <row r="615" spans="30:30" x14ac:dyDescent="0.25">
      <c r="AD615" s="27"/>
    </row>
    <row r="616" spans="30:30" x14ac:dyDescent="0.25">
      <c r="AD616" s="27"/>
    </row>
    <row r="617" spans="30:30" x14ac:dyDescent="0.25">
      <c r="AD617" s="27"/>
    </row>
    <row r="618" spans="30:30" x14ac:dyDescent="0.25">
      <c r="AD618" s="27"/>
    </row>
    <row r="619" spans="30:30" x14ac:dyDescent="0.25">
      <c r="AD619" s="27"/>
    </row>
    <row r="620" spans="30:30" x14ac:dyDescent="0.25">
      <c r="AD620" s="27"/>
    </row>
    <row r="621" spans="30:30" x14ac:dyDescent="0.25">
      <c r="AD621" s="27"/>
    </row>
    <row r="622" spans="30:30" x14ac:dyDescent="0.25">
      <c r="AD622" s="27"/>
    </row>
    <row r="623" spans="30:30" x14ac:dyDescent="0.25">
      <c r="AD623" s="27"/>
    </row>
    <row r="624" spans="30:30" x14ac:dyDescent="0.25">
      <c r="AD624" s="27"/>
    </row>
    <row r="625" spans="30:30" x14ac:dyDescent="0.25">
      <c r="AD625" s="27"/>
    </row>
    <row r="626" spans="30:30" x14ac:dyDescent="0.25">
      <c r="AD626" s="27"/>
    </row>
    <row r="627" spans="30:30" x14ac:dyDescent="0.25">
      <c r="AD627" s="27"/>
    </row>
    <row r="628" spans="30:30" x14ac:dyDescent="0.25">
      <c r="AD628" s="27"/>
    </row>
    <row r="629" spans="30:30" x14ac:dyDescent="0.25">
      <c r="AD629" s="27"/>
    </row>
    <row r="630" spans="30:30" x14ac:dyDescent="0.25">
      <c r="AD630" s="27"/>
    </row>
    <row r="631" spans="30:30" x14ac:dyDescent="0.25">
      <c r="AD631" s="27"/>
    </row>
    <row r="632" spans="30:30" x14ac:dyDescent="0.25">
      <c r="AD632" s="27"/>
    </row>
    <row r="633" spans="30:30" x14ac:dyDescent="0.25">
      <c r="AD633" s="27"/>
    </row>
    <row r="634" spans="30:30" x14ac:dyDescent="0.25">
      <c r="AD634" s="27"/>
    </row>
    <row r="635" spans="30:30" x14ac:dyDescent="0.25">
      <c r="AD635" s="27"/>
    </row>
    <row r="636" spans="30:30" x14ac:dyDescent="0.25">
      <c r="AD636" s="27"/>
    </row>
    <row r="637" spans="30:30" x14ac:dyDescent="0.25">
      <c r="AD637" s="27"/>
    </row>
    <row r="638" spans="30:30" x14ac:dyDescent="0.25">
      <c r="AD638" s="27"/>
    </row>
    <row r="639" spans="30:30" x14ac:dyDescent="0.25">
      <c r="AD639" s="27"/>
    </row>
    <row r="640" spans="30:30" x14ac:dyDescent="0.25">
      <c r="AD640" s="27"/>
    </row>
    <row r="641" spans="30:30" x14ac:dyDescent="0.25">
      <c r="AD641" s="27"/>
    </row>
    <row r="642" spans="30:30" x14ac:dyDescent="0.25">
      <c r="AD642" s="27"/>
    </row>
    <row r="643" spans="30:30" x14ac:dyDescent="0.25">
      <c r="AD643" s="27"/>
    </row>
    <row r="644" spans="30:30" x14ac:dyDescent="0.25">
      <c r="AD644" s="27"/>
    </row>
    <row r="645" spans="30:30" x14ac:dyDescent="0.25">
      <c r="AD645" s="27"/>
    </row>
    <row r="646" spans="30:30" x14ac:dyDescent="0.25">
      <c r="AD646" s="27"/>
    </row>
    <row r="647" spans="30:30" x14ac:dyDescent="0.25">
      <c r="AD647" s="27"/>
    </row>
    <row r="648" spans="30:30" x14ac:dyDescent="0.25">
      <c r="AD648" s="27"/>
    </row>
    <row r="649" spans="30:30" x14ac:dyDescent="0.25">
      <c r="AD649" s="27"/>
    </row>
    <row r="650" spans="30:30" x14ac:dyDescent="0.25">
      <c r="AD650" s="27"/>
    </row>
    <row r="651" spans="30:30" x14ac:dyDescent="0.25">
      <c r="AD651" s="27"/>
    </row>
    <row r="652" spans="30:30" x14ac:dyDescent="0.25">
      <c r="AD652" s="27"/>
    </row>
    <row r="653" spans="30:30" x14ac:dyDescent="0.25">
      <c r="AD653" s="27"/>
    </row>
    <row r="654" spans="30:30" x14ac:dyDescent="0.25">
      <c r="AD654" s="27"/>
    </row>
    <row r="655" spans="30:30" x14ac:dyDescent="0.25">
      <c r="AD655" s="27"/>
    </row>
    <row r="656" spans="30:30" x14ac:dyDescent="0.25">
      <c r="AD656" s="27"/>
    </row>
    <row r="657" spans="30:30" x14ac:dyDescent="0.25">
      <c r="AD657" s="27"/>
    </row>
    <row r="658" spans="30:30" x14ac:dyDescent="0.25">
      <c r="AD658" s="27"/>
    </row>
    <row r="659" spans="30:30" x14ac:dyDescent="0.25">
      <c r="AD659" s="27"/>
    </row>
    <row r="660" spans="30:30" x14ac:dyDescent="0.25">
      <c r="AD660" s="27"/>
    </row>
    <row r="661" spans="30:30" x14ac:dyDescent="0.25">
      <c r="AD661" s="27"/>
    </row>
    <row r="662" spans="30:30" x14ac:dyDescent="0.25">
      <c r="AD662" s="27"/>
    </row>
    <row r="663" spans="30:30" x14ac:dyDescent="0.25">
      <c r="AD663" s="27"/>
    </row>
    <row r="664" spans="30:30" x14ac:dyDescent="0.25">
      <c r="AD664" s="27"/>
    </row>
    <row r="665" spans="30:30" x14ac:dyDescent="0.25">
      <c r="AD665" s="27"/>
    </row>
    <row r="666" spans="30:30" x14ac:dyDescent="0.25">
      <c r="AD666" s="27"/>
    </row>
    <row r="667" spans="30:30" x14ac:dyDescent="0.25">
      <c r="AD667" s="27"/>
    </row>
    <row r="668" spans="30:30" x14ac:dyDescent="0.25">
      <c r="AD668" s="27"/>
    </row>
    <row r="669" spans="30:30" x14ac:dyDescent="0.25">
      <c r="AD669" s="27"/>
    </row>
    <row r="670" spans="30:30" x14ac:dyDescent="0.25">
      <c r="AD670" s="27"/>
    </row>
    <row r="671" spans="30:30" x14ac:dyDescent="0.25">
      <c r="AD671" s="27"/>
    </row>
    <row r="672" spans="30:30" x14ac:dyDescent="0.25">
      <c r="AD672" s="27"/>
    </row>
    <row r="673" spans="30:30" x14ac:dyDescent="0.25">
      <c r="AD673" s="27"/>
    </row>
    <row r="674" spans="30:30" x14ac:dyDescent="0.25">
      <c r="AD674" s="27"/>
    </row>
    <row r="675" spans="30:30" x14ac:dyDescent="0.25">
      <c r="AD675" s="27"/>
    </row>
    <row r="676" spans="30:30" x14ac:dyDescent="0.25">
      <c r="AD676" s="27"/>
    </row>
    <row r="677" spans="30:30" x14ac:dyDescent="0.25">
      <c r="AD677" s="27"/>
    </row>
    <row r="678" spans="30:30" x14ac:dyDescent="0.25">
      <c r="AD678" s="27"/>
    </row>
    <row r="679" spans="30:30" x14ac:dyDescent="0.25">
      <c r="AD679" s="27"/>
    </row>
    <row r="680" spans="30:30" x14ac:dyDescent="0.25">
      <c r="AD680" s="27"/>
    </row>
    <row r="681" spans="30:30" x14ac:dyDescent="0.25">
      <c r="AD681" s="27"/>
    </row>
    <row r="682" spans="30:30" x14ac:dyDescent="0.25">
      <c r="AD682" s="27"/>
    </row>
    <row r="683" spans="30:30" x14ac:dyDescent="0.25">
      <c r="AD683" s="27"/>
    </row>
    <row r="684" spans="30:30" x14ac:dyDescent="0.25">
      <c r="AD684" s="27"/>
    </row>
    <row r="685" spans="30:30" x14ac:dyDescent="0.25">
      <c r="AD685" s="27"/>
    </row>
    <row r="686" spans="30:30" x14ac:dyDescent="0.25">
      <c r="AD686" s="27"/>
    </row>
    <row r="687" spans="30:30" x14ac:dyDescent="0.25">
      <c r="AD687" s="27"/>
    </row>
    <row r="688" spans="30:30" x14ac:dyDescent="0.25">
      <c r="AD688" s="27"/>
    </row>
    <row r="689" spans="30:30" x14ac:dyDescent="0.25">
      <c r="AD689" s="27"/>
    </row>
    <row r="690" spans="30:30" x14ac:dyDescent="0.25">
      <c r="AD690" s="27"/>
    </row>
    <row r="691" spans="30:30" x14ac:dyDescent="0.25">
      <c r="AD691" s="27"/>
    </row>
    <row r="692" spans="30:30" x14ac:dyDescent="0.25">
      <c r="AD692" s="27"/>
    </row>
    <row r="693" spans="30:30" x14ac:dyDescent="0.25">
      <c r="AD693" s="27"/>
    </row>
    <row r="694" spans="30:30" x14ac:dyDescent="0.25">
      <c r="AD694" s="27"/>
    </row>
    <row r="695" spans="30:30" x14ac:dyDescent="0.25">
      <c r="AD695" s="27"/>
    </row>
    <row r="696" spans="30:30" x14ac:dyDescent="0.25">
      <c r="AD696" s="27"/>
    </row>
    <row r="697" spans="30:30" x14ac:dyDescent="0.25">
      <c r="AD697" s="27"/>
    </row>
    <row r="698" spans="30:30" x14ac:dyDescent="0.25">
      <c r="AD698" s="27"/>
    </row>
    <row r="699" spans="30:30" x14ac:dyDescent="0.25">
      <c r="AD699" s="27"/>
    </row>
    <row r="700" spans="30:30" x14ac:dyDescent="0.25">
      <c r="AD700" s="27"/>
    </row>
    <row r="701" spans="30:30" x14ac:dyDescent="0.25">
      <c r="AD701" s="27"/>
    </row>
    <row r="702" spans="30:30" x14ac:dyDescent="0.25">
      <c r="AD702" s="27"/>
    </row>
    <row r="703" spans="30:30" x14ac:dyDescent="0.25">
      <c r="AD703" s="27"/>
    </row>
    <row r="704" spans="30:30" x14ac:dyDescent="0.25">
      <c r="AD704" s="27"/>
    </row>
    <row r="705" spans="30:30" x14ac:dyDescent="0.25">
      <c r="AD705" s="27"/>
    </row>
    <row r="706" spans="30:30" x14ac:dyDescent="0.25">
      <c r="AD706" s="27"/>
    </row>
    <row r="707" spans="30:30" x14ac:dyDescent="0.25">
      <c r="AD707" s="27"/>
    </row>
    <row r="708" spans="30:30" x14ac:dyDescent="0.25">
      <c r="AD708" s="27"/>
    </row>
    <row r="709" spans="30:30" x14ac:dyDescent="0.25">
      <c r="AD709" s="27"/>
    </row>
    <row r="710" spans="30:30" x14ac:dyDescent="0.25">
      <c r="AD710" s="27"/>
    </row>
    <row r="711" spans="30:30" x14ac:dyDescent="0.25">
      <c r="AD711" s="27"/>
    </row>
    <row r="712" spans="30:30" x14ac:dyDescent="0.25">
      <c r="AD712" s="27"/>
    </row>
    <row r="713" spans="30:30" x14ac:dyDescent="0.25">
      <c r="AD713" s="27"/>
    </row>
    <row r="714" spans="30:30" x14ac:dyDescent="0.25">
      <c r="AD714" s="27"/>
    </row>
    <row r="715" spans="30:30" x14ac:dyDescent="0.25">
      <c r="AD715" s="27"/>
    </row>
    <row r="716" spans="30:30" x14ac:dyDescent="0.25">
      <c r="AD716" s="27"/>
    </row>
    <row r="717" spans="30:30" x14ac:dyDescent="0.25">
      <c r="AD717" s="27"/>
    </row>
    <row r="718" spans="30:30" x14ac:dyDescent="0.25">
      <c r="AD718" s="27"/>
    </row>
    <row r="719" spans="30:30" x14ac:dyDescent="0.25">
      <c r="AD719" s="27"/>
    </row>
    <row r="720" spans="30:30" x14ac:dyDescent="0.25">
      <c r="AD720" s="27"/>
    </row>
    <row r="721" spans="30:30" x14ac:dyDescent="0.25">
      <c r="AD721" s="27"/>
    </row>
    <row r="722" spans="30:30" x14ac:dyDescent="0.25">
      <c r="AD722" s="27"/>
    </row>
    <row r="723" spans="30:30" x14ac:dyDescent="0.25">
      <c r="AD723" s="27"/>
    </row>
    <row r="724" spans="30:30" x14ac:dyDescent="0.25">
      <c r="AD724" s="27"/>
    </row>
    <row r="725" spans="30:30" x14ac:dyDescent="0.25">
      <c r="AD725" s="27"/>
    </row>
    <row r="726" spans="30:30" x14ac:dyDescent="0.25">
      <c r="AD726" s="27"/>
    </row>
    <row r="727" spans="30:30" x14ac:dyDescent="0.25">
      <c r="AD727" s="27"/>
    </row>
    <row r="728" spans="30:30" x14ac:dyDescent="0.25">
      <c r="AD728" s="27"/>
    </row>
    <row r="729" spans="30:30" x14ac:dyDescent="0.25">
      <c r="AD729" s="27"/>
    </row>
    <row r="730" spans="30:30" x14ac:dyDescent="0.25">
      <c r="AD730" s="27"/>
    </row>
    <row r="731" spans="30:30" x14ac:dyDescent="0.25">
      <c r="AD731" s="27"/>
    </row>
    <row r="732" spans="30:30" x14ac:dyDescent="0.25">
      <c r="AD732" s="27"/>
    </row>
    <row r="733" spans="30:30" x14ac:dyDescent="0.25">
      <c r="AD733" s="27"/>
    </row>
    <row r="734" spans="30:30" x14ac:dyDescent="0.25">
      <c r="AD734" s="27"/>
    </row>
    <row r="735" spans="30:30" x14ac:dyDescent="0.25">
      <c r="AD735" s="27"/>
    </row>
    <row r="736" spans="30:30" x14ac:dyDescent="0.25">
      <c r="AD736" s="27"/>
    </row>
    <row r="737" spans="30:30" x14ac:dyDescent="0.25">
      <c r="AD737" s="27"/>
    </row>
    <row r="738" spans="30:30" x14ac:dyDescent="0.25">
      <c r="AD738" s="27"/>
    </row>
    <row r="739" spans="30:30" x14ac:dyDescent="0.25">
      <c r="AD739" s="27"/>
    </row>
    <row r="740" spans="30:30" x14ac:dyDescent="0.25">
      <c r="AD740" s="27"/>
    </row>
    <row r="741" spans="30:30" x14ac:dyDescent="0.25">
      <c r="AD741" s="27"/>
    </row>
    <row r="742" spans="30:30" x14ac:dyDescent="0.25">
      <c r="AD742" s="27"/>
    </row>
    <row r="743" spans="30:30" x14ac:dyDescent="0.25">
      <c r="AD743" s="27"/>
    </row>
    <row r="744" spans="30:30" x14ac:dyDescent="0.25">
      <c r="AD744" s="27"/>
    </row>
    <row r="745" spans="30:30" x14ac:dyDescent="0.25">
      <c r="AD745" s="27"/>
    </row>
    <row r="746" spans="30:30" x14ac:dyDescent="0.25">
      <c r="AD746" s="27"/>
    </row>
    <row r="747" spans="30:30" x14ac:dyDescent="0.25">
      <c r="AD747" s="27"/>
    </row>
    <row r="748" spans="30:30" x14ac:dyDescent="0.25">
      <c r="AD748" s="27"/>
    </row>
    <row r="749" spans="30:30" x14ac:dyDescent="0.25">
      <c r="AD749" s="27"/>
    </row>
    <row r="750" spans="30:30" x14ac:dyDescent="0.25">
      <c r="AD750" s="27"/>
    </row>
    <row r="751" spans="30:30" x14ac:dyDescent="0.25">
      <c r="AD751" s="27"/>
    </row>
    <row r="752" spans="30:30" x14ac:dyDescent="0.25">
      <c r="AD752" s="27"/>
    </row>
    <row r="753" spans="30:30" x14ac:dyDescent="0.25">
      <c r="AD753" s="27"/>
    </row>
    <row r="754" spans="30:30" x14ac:dyDescent="0.25">
      <c r="AD754" s="27"/>
    </row>
    <row r="755" spans="30:30" x14ac:dyDescent="0.25">
      <c r="AD755" s="27"/>
    </row>
    <row r="756" spans="30:30" x14ac:dyDescent="0.25">
      <c r="AD756" s="27"/>
    </row>
    <row r="757" spans="30:30" x14ac:dyDescent="0.25">
      <c r="AD757" s="27"/>
    </row>
    <row r="758" spans="30:30" x14ac:dyDescent="0.25">
      <c r="AD758" s="27"/>
    </row>
    <row r="759" spans="30:30" x14ac:dyDescent="0.25">
      <c r="AD759" s="27"/>
    </row>
    <row r="760" spans="30:30" x14ac:dyDescent="0.25">
      <c r="AD760" s="27"/>
    </row>
    <row r="761" spans="30:30" x14ac:dyDescent="0.25">
      <c r="AD761" s="27"/>
    </row>
    <row r="762" spans="30:30" x14ac:dyDescent="0.25">
      <c r="AD762" s="27"/>
    </row>
    <row r="763" spans="30:30" x14ac:dyDescent="0.25">
      <c r="AD763" s="27"/>
    </row>
    <row r="764" spans="30:30" x14ac:dyDescent="0.25">
      <c r="AD764" s="27"/>
    </row>
    <row r="765" spans="30:30" x14ac:dyDescent="0.25">
      <c r="AD765" s="27"/>
    </row>
    <row r="766" spans="30:30" x14ac:dyDescent="0.25">
      <c r="AD766" s="27"/>
    </row>
    <row r="767" spans="30:30" x14ac:dyDescent="0.25">
      <c r="AD767" s="27"/>
    </row>
    <row r="768" spans="30:30" x14ac:dyDescent="0.25">
      <c r="AD768" s="27"/>
    </row>
    <row r="769" spans="30:30" x14ac:dyDescent="0.25">
      <c r="AD769" s="27"/>
    </row>
    <row r="770" spans="30:30" x14ac:dyDescent="0.25">
      <c r="AD770" s="27"/>
    </row>
    <row r="771" spans="30:30" x14ac:dyDescent="0.25">
      <c r="AD771" s="27"/>
    </row>
    <row r="772" spans="30:30" x14ac:dyDescent="0.25">
      <c r="AD772" s="27"/>
    </row>
    <row r="773" spans="30:30" x14ac:dyDescent="0.25">
      <c r="AD773" s="27"/>
    </row>
    <row r="774" spans="30:30" x14ac:dyDescent="0.25">
      <c r="AD774" s="27"/>
    </row>
    <row r="775" spans="30:30" x14ac:dyDescent="0.25">
      <c r="AD775" s="27"/>
    </row>
    <row r="776" spans="30:30" x14ac:dyDescent="0.25">
      <c r="AD776" s="27"/>
    </row>
    <row r="777" spans="30:30" x14ac:dyDescent="0.25">
      <c r="AD777" s="27"/>
    </row>
    <row r="778" spans="30:30" x14ac:dyDescent="0.25">
      <c r="AD778" s="27"/>
    </row>
    <row r="779" spans="30:30" x14ac:dyDescent="0.25">
      <c r="AD779" s="27"/>
    </row>
    <row r="780" spans="30:30" x14ac:dyDescent="0.25">
      <c r="AD780" s="27"/>
    </row>
    <row r="781" spans="30:30" x14ac:dyDescent="0.25">
      <c r="AD781" s="27"/>
    </row>
    <row r="782" spans="30:30" x14ac:dyDescent="0.25">
      <c r="AD782" s="27"/>
    </row>
    <row r="783" spans="30:30" x14ac:dyDescent="0.25">
      <c r="AD783" s="27"/>
    </row>
    <row r="784" spans="30:30" x14ac:dyDescent="0.25">
      <c r="AD784" s="27"/>
    </row>
    <row r="785" spans="30:30" x14ac:dyDescent="0.25">
      <c r="AD785" s="27"/>
    </row>
    <row r="786" spans="30:30" x14ac:dyDescent="0.25">
      <c r="AD786" s="27"/>
    </row>
    <row r="787" spans="30:30" x14ac:dyDescent="0.25">
      <c r="AD787" s="27"/>
    </row>
    <row r="788" spans="30:30" x14ac:dyDescent="0.25">
      <c r="AD788" s="27"/>
    </row>
    <row r="789" spans="30:30" x14ac:dyDescent="0.25">
      <c r="AD789" s="27"/>
    </row>
    <row r="790" spans="30:30" x14ac:dyDescent="0.25">
      <c r="AD790" s="27"/>
    </row>
    <row r="791" spans="30:30" x14ac:dyDescent="0.25">
      <c r="AD791" s="27"/>
    </row>
    <row r="792" spans="30:30" x14ac:dyDescent="0.25">
      <c r="AD792" s="27"/>
    </row>
    <row r="793" spans="30:30" x14ac:dyDescent="0.25">
      <c r="AD793" s="27"/>
    </row>
    <row r="794" spans="30:30" x14ac:dyDescent="0.25">
      <c r="AD794" s="27"/>
    </row>
    <row r="795" spans="30:30" x14ac:dyDescent="0.25">
      <c r="AD795" s="27"/>
    </row>
    <row r="796" spans="30:30" x14ac:dyDescent="0.25">
      <c r="AD796" s="27"/>
    </row>
    <row r="797" spans="30:30" x14ac:dyDescent="0.25">
      <c r="AD797" s="27"/>
    </row>
    <row r="798" spans="30:30" x14ac:dyDescent="0.25">
      <c r="AD798" s="27"/>
    </row>
    <row r="799" spans="30:30" x14ac:dyDescent="0.25">
      <c r="AD799" s="27"/>
    </row>
    <row r="800" spans="30:30" x14ac:dyDescent="0.25">
      <c r="AD800" s="27"/>
    </row>
    <row r="801" spans="30:30" x14ac:dyDescent="0.25">
      <c r="AD801" s="27"/>
    </row>
    <row r="802" spans="30:30" x14ac:dyDescent="0.25">
      <c r="AD802" s="27"/>
    </row>
    <row r="803" spans="30:30" x14ac:dyDescent="0.25">
      <c r="AD803" s="27"/>
    </row>
    <row r="804" spans="30:30" x14ac:dyDescent="0.25">
      <c r="AD804" s="27"/>
    </row>
    <row r="805" spans="30:30" x14ac:dyDescent="0.25">
      <c r="AD805" s="27"/>
    </row>
    <row r="806" spans="30:30" x14ac:dyDescent="0.25">
      <c r="AD806" s="27"/>
    </row>
    <row r="807" spans="30:30" x14ac:dyDescent="0.25">
      <c r="AD807" s="27"/>
    </row>
    <row r="808" spans="30:30" x14ac:dyDescent="0.25">
      <c r="AD808" s="27"/>
    </row>
    <row r="809" spans="30:30" x14ac:dyDescent="0.25">
      <c r="AD809" s="27"/>
    </row>
    <row r="810" spans="30:30" x14ac:dyDescent="0.25">
      <c r="AD810" s="27"/>
    </row>
    <row r="811" spans="30:30" x14ac:dyDescent="0.25">
      <c r="AD811" s="27"/>
    </row>
    <row r="812" spans="30:30" x14ac:dyDescent="0.25">
      <c r="AD812" s="27"/>
    </row>
    <row r="813" spans="30:30" x14ac:dyDescent="0.25">
      <c r="AD813" s="27"/>
    </row>
    <row r="814" spans="30:30" x14ac:dyDescent="0.25">
      <c r="AD814" s="27"/>
    </row>
    <row r="815" spans="30:30" x14ac:dyDescent="0.25">
      <c r="AD815" s="27"/>
    </row>
    <row r="816" spans="30:30" x14ac:dyDescent="0.25">
      <c r="AD816" s="27"/>
    </row>
    <row r="817" spans="30:30" x14ac:dyDescent="0.25">
      <c r="AD817" s="27"/>
    </row>
    <row r="818" spans="30:30" x14ac:dyDescent="0.25">
      <c r="AD818" s="27"/>
    </row>
    <row r="819" spans="30:30" x14ac:dyDescent="0.25">
      <c r="AD819" s="27"/>
    </row>
    <row r="820" spans="30:30" x14ac:dyDescent="0.25">
      <c r="AD820" s="27"/>
    </row>
    <row r="821" spans="30:30" x14ac:dyDescent="0.25">
      <c r="AD821" s="27"/>
    </row>
    <row r="822" spans="30:30" x14ac:dyDescent="0.25">
      <c r="AD822" s="27"/>
    </row>
    <row r="823" spans="30:30" x14ac:dyDescent="0.25">
      <c r="AD823" s="27"/>
    </row>
    <row r="824" spans="30:30" x14ac:dyDescent="0.25">
      <c r="AD824" s="27"/>
    </row>
    <row r="825" spans="30:30" x14ac:dyDescent="0.25">
      <c r="AD825" s="27"/>
    </row>
    <row r="826" spans="30:30" x14ac:dyDescent="0.25">
      <c r="AD826" s="27"/>
    </row>
    <row r="827" spans="30:30" x14ac:dyDescent="0.25">
      <c r="AD827" s="27"/>
    </row>
    <row r="828" spans="30:30" x14ac:dyDescent="0.25">
      <c r="AD828" s="27"/>
    </row>
    <row r="829" spans="30:30" x14ac:dyDescent="0.25">
      <c r="AD829" s="27"/>
    </row>
    <row r="830" spans="30:30" x14ac:dyDescent="0.25">
      <c r="AD830" s="27"/>
    </row>
    <row r="831" spans="30:30" x14ac:dyDescent="0.25">
      <c r="AD831" s="27"/>
    </row>
    <row r="832" spans="30:30" x14ac:dyDescent="0.25">
      <c r="AD832" s="27"/>
    </row>
    <row r="833" spans="30:30" x14ac:dyDescent="0.25">
      <c r="AD833" s="27"/>
    </row>
    <row r="834" spans="30:30" x14ac:dyDescent="0.25">
      <c r="AD834" s="27"/>
    </row>
    <row r="835" spans="30:30" x14ac:dyDescent="0.25">
      <c r="AD835" s="27"/>
    </row>
    <row r="836" spans="30:30" x14ac:dyDescent="0.25">
      <c r="AD836" s="27"/>
    </row>
    <row r="837" spans="30:30" x14ac:dyDescent="0.25">
      <c r="AD837" s="27"/>
    </row>
    <row r="838" spans="30:30" x14ac:dyDescent="0.25">
      <c r="AD838" s="27"/>
    </row>
    <row r="839" spans="30:30" x14ac:dyDescent="0.25">
      <c r="AD839" s="27"/>
    </row>
    <row r="840" spans="30:30" x14ac:dyDescent="0.25">
      <c r="AD840" s="27"/>
    </row>
    <row r="841" spans="30:30" x14ac:dyDescent="0.25">
      <c r="AD841" s="27"/>
    </row>
    <row r="842" spans="30:30" x14ac:dyDescent="0.25">
      <c r="AD842" s="27"/>
    </row>
    <row r="843" spans="30:30" x14ac:dyDescent="0.25">
      <c r="AD843" s="27"/>
    </row>
    <row r="844" spans="30:30" x14ac:dyDescent="0.25">
      <c r="AD844" s="27"/>
    </row>
    <row r="845" spans="30:30" x14ac:dyDescent="0.25">
      <c r="AD845" s="27"/>
    </row>
    <row r="846" spans="30:30" x14ac:dyDescent="0.25">
      <c r="AD846" s="27"/>
    </row>
    <row r="847" spans="30:30" x14ac:dyDescent="0.25">
      <c r="AD847" s="27"/>
    </row>
    <row r="848" spans="30:30" x14ac:dyDescent="0.25">
      <c r="AD848" s="27"/>
    </row>
    <row r="849" spans="30:30" x14ac:dyDescent="0.25">
      <c r="AD849" s="27"/>
    </row>
    <row r="850" spans="30:30" x14ac:dyDescent="0.25">
      <c r="AD850" s="27"/>
    </row>
    <row r="851" spans="30:30" x14ac:dyDescent="0.25">
      <c r="AD851" s="27"/>
    </row>
    <row r="852" spans="30:30" x14ac:dyDescent="0.25">
      <c r="AD852" s="27"/>
    </row>
    <row r="853" spans="30:30" x14ac:dyDescent="0.25">
      <c r="AD853" s="27"/>
    </row>
    <row r="854" spans="30:30" x14ac:dyDescent="0.25">
      <c r="AD854" s="27"/>
    </row>
    <row r="855" spans="30:30" x14ac:dyDescent="0.25">
      <c r="AD855" s="27"/>
    </row>
    <row r="856" spans="30:30" x14ac:dyDescent="0.25">
      <c r="AD856" s="27"/>
    </row>
    <row r="857" spans="30:30" x14ac:dyDescent="0.25">
      <c r="AD857" s="27"/>
    </row>
    <row r="858" spans="30:30" x14ac:dyDescent="0.25">
      <c r="AD858" s="27"/>
    </row>
    <row r="859" spans="30:30" x14ac:dyDescent="0.25">
      <c r="AD859" s="27"/>
    </row>
    <row r="860" spans="30:30" x14ac:dyDescent="0.25">
      <c r="AD860" s="27"/>
    </row>
    <row r="861" spans="30:30" x14ac:dyDescent="0.25">
      <c r="AD861" s="27"/>
    </row>
    <row r="862" spans="30:30" x14ac:dyDescent="0.25">
      <c r="AD862" s="27"/>
    </row>
    <row r="863" spans="30:30" x14ac:dyDescent="0.25">
      <c r="AD863" s="27"/>
    </row>
    <row r="864" spans="30:30" x14ac:dyDescent="0.25">
      <c r="AD864" s="27"/>
    </row>
    <row r="865" spans="30:30" x14ac:dyDescent="0.25">
      <c r="AD865" s="27"/>
    </row>
    <row r="866" spans="30:30" x14ac:dyDescent="0.25">
      <c r="AD866" s="27"/>
    </row>
    <row r="867" spans="30:30" x14ac:dyDescent="0.25">
      <c r="AD867" s="27"/>
    </row>
    <row r="868" spans="30:30" x14ac:dyDescent="0.25">
      <c r="AD868" s="27"/>
    </row>
    <row r="869" spans="30:30" x14ac:dyDescent="0.25">
      <c r="AD869" s="27"/>
    </row>
    <row r="870" spans="30:30" x14ac:dyDescent="0.25">
      <c r="AD870" s="27"/>
    </row>
    <row r="871" spans="30:30" x14ac:dyDescent="0.25">
      <c r="AD871" s="27"/>
    </row>
    <row r="872" spans="30:30" x14ac:dyDescent="0.25">
      <c r="AD872" s="27"/>
    </row>
    <row r="873" spans="30:30" x14ac:dyDescent="0.25">
      <c r="AD873" s="27"/>
    </row>
    <row r="874" spans="30:30" x14ac:dyDescent="0.25">
      <c r="AD874" s="27"/>
    </row>
    <row r="875" spans="30:30" x14ac:dyDescent="0.25">
      <c r="AD875" s="27"/>
    </row>
    <row r="876" spans="30:30" x14ac:dyDescent="0.25">
      <c r="AD876" s="27"/>
    </row>
    <row r="877" spans="30:30" x14ac:dyDescent="0.25">
      <c r="AD877" s="27"/>
    </row>
    <row r="878" spans="30:30" x14ac:dyDescent="0.25">
      <c r="AD878" s="27"/>
    </row>
    <row r="879" spans="30:30" x14ac:dyDescent="0.25">
      <c r="AD879" s="27"/>
    </row>
    <row r="880" spans="30:30" x14ac:dyDescent="0.25">
      <c r="AD880" s="27"/>
    </row>
    <row r="881" spans="30:30" x14ac:dyDescent="0.25">
      <c r="AD881" s="27"/>
    </row>
    <row r="882" spans="30:30" x14ac:dyDescent="0.25">
      <c r="AD882" s="27"/>
    </row>
    <row r="883" spans="30:30" x14ac:dyDescent="0.25">
      <c r="AD883" s="27"/>
    </row>
    <row r="884" spans="30:30" x14ac:dyDescent="0.25">
      <c r="AD884" s="27"/>
    </row>
    <row r="885" spans="30:30" x14ac:dyDescent="0.25">
      <c r="AD885" s="27"/>
    </row>
    <row r="886" spans="30:30" x14ac:dyDescent="0.25">
      <c r="AD886" s="27"/>
    </row>
    <row r="887" spans="30:30" x14ac:dyDescent="0.25">
      <c r="AD887" s="27"/>
    </row>
    <row r="888" spans="30:30" x14ac:dyDescent="0.25">
      <c r="AD888" s="27"/>
    </row>
    <row r="889" spans="30:30" x14ac:dyDescent="0.25">
      <c r="AD889" s="27"/>
    </row>
    <row r="890" spans="30:30" x14ac:dyDescent="0.25">
      <c r="AD890" s="27"/>
    </row>
    <row r="891" spans="30:30" x14ac:dyDescent="0.25">
      <c r="AD891" s="27"/>
    </row>
    <row r="892" spans="30:30" x14ac:dyDescent="0.25">
      <c r="AD892" s="27"/>
    </row>
    <row r="893" spans="30:30" x14ac:dyDescent="0.25">
      <c r="AD893" s="27"/>
    </row>
    <row r="894" spans="30:30" x14ac:dyDescent="0.25">
      <c r="AD894" s="27"/>
    </row>
    <row r="895" spans="30:30" x14ac:dyDescent="0.25">
      <c r="AD895" s="27"/>
    </row>
    <row r="896" spans="30:30" x14ac:dyDescent="0.25">
      <c r="AD896" s="27"/>
    </row>
    <row r="897" spans="30:30" x14ac:dyDescent="0.25">
      <c r="AD897" s="27"/>
    </row>
    <row r="898" spans="30:30" x14ac:dyDescent="0.25">
      <c r="AD898" s="27"/>
    </row>
    <row r="899" spans="30:30" x14ac:dyDescent="0.25">
      <c r="AD899" s="27"/>
    </row>
    <row r="900" spans="30:30" x14ac:dyDescent="0.25">
      <c r="AD900" s="27"/>
    </row>
    <row r="901" spans="30:30" x14ac:dyDescent="0.25">
      <c r="AD901" s="27"/>
    </row>
    <row r="902" spans="30:30" x14ac:dyDescent="0.25">
      <c r="AD902" s="27"/>
    </row>
    <row r="903" spans="30:30" x14ac:dyDescent="0.25">
      <c r="AD903" s="27"/>
    </row>
    <row r="904" spans="30:30" x14ac:dyDescent="0.25">
      <c r="AD904" s="27"/>
    </row>
    <row r="905" spans="30:30" x14ac:dyDescent="0.25">
      <c r="AD905" s="27"/>
    </row>
    <row r="906" spans="30:30" x14ac:dyDescent="0.25">
      <c r="AD906" s="27"/>
    </row>
    <row r="907" spans="30:30" x14ac:dyDescent="0.25">
      <c r="AD907" s="27"/>
    </row>
    <row r="908" spans="30:30" x14ac:dyDescent="0.25">
      <c r="AD908" s="27"/>
    </row>
    <row r="909" spans="30:30" x14ac:dyDescent="0.25">
      <c r="AD909" s="27"/>
    </row>
    <row r="910" spans="30:30" x14ac:dyDescent="0.25">
      <c r="AD910" s="27"/>
    </row>
    <row r="911" spans="30:30" x14ac:dyDescent="0.25">
      <c r="AD911" s="27"/>
    </row>
    <row r="912" spans="30:30" x14ac:dyDescent="0.25">
      <c r="AD912" s="27"/>
    </row>
    <row r="913" spans="30:30" x14ac:dyDescent="0.25">
      <c r="AD913" s="27"/>
    </row>
    <row r="914" spans="30:30" x14ac:dyDescent="0.25">
      <c r="AD914" s="27"/>
    </row>
    <row r="915" spans="30:30" x14ac:dyDescent="0.25">
      <c r="AD915" s="27"/>
    </row>
    <row r="916" spans="30:30" x14ac:dyDescent="0.25">
      <c r="AD916" s="27"/>
    </row>
    <row r="917" spans="30:30" x14ac:dyDescent="0.25">
      <c r="AD917" s="27"/>
    </row>
    <row r="918" spans="30:30" x14ac:dyDescent="0.25">
      <c r="AD918" s="27"/>
    </row>
    <row r="919" spans="30:30" x14ac:dyDescent="0.25">
      <c r="AD919" s="27"/>
    </row>
    <row r="920" spans="30:30" x14ac:dyDescent="0.25">
      <c r="AD920" s="27"/>
    </row>
    <row r="921" spans="30:30" x14ac:dyDescent="0.25">
      <c r="AD921" s="27"/>
    </row>
    <row r="922" spans="30:30" x14ac:dyDescent="0.25">
      <c r="AD922" s="27"/>
    </row>
    <row r="923" spans="30:30" x14ac:dyDescent="0.25">
      <c r="AD923" s="27"/>
    </row>
    <row r="924" spans="30:30" x14ac:dyDescent="0.25">
      <c r="AD924" s="27"/>
    </row>
    <row r="925" spans="30:30" x14ac:dyDescent="0.25">
      <c r="AD925" s="27"/>
    </row>
    <row r="926" spans="30:30" x14ac:dyDescent="0.25">
      <c r="AD926" s="27"/>
    </row>
    <row r="927" spans="30:30" x14ac:dyDescent="0.25">
      <c r="AD927" s="27"/>
    </row>
    <row r="928" spans="30:30" x14ac:dyDescent="0.25">
      <c r="AD928" s="27"/>
    </row>
    <row r="929" spans="30:30" x14ac:dyDescent="0.25">
      <c r="AD929" s="27"/>
    </row>
    <row r="930" spans="30:30" x14ac:dyDescent="0.25">
      <c r="AD930" s="27"/>
    </row>
    <row r="931" spans="30:30" x14ac:dyDescent="0.25">
      <c r="AD931" s="27"/>
    </row>
    <row r="932" spans="30:30" x14ac:dyDescent="0.25">
      <c r="AD932" s="27"/>
    </row>
    <row r="933" spans="30:30" x14ac:dyDescent="0.25">
      <c r="AD933" s="27"/>
    </row>
    <row r="934" spans="30:30" x14ac:dyDescent="0.25">
      <c r="AD934" s="27"/>
    </row>
    <row r="935" spans="30:30" x14ac:dyDescent="0.25">
      <c r="AD935" s="27"/>
    </row>
    <row r="936" spans="30:30" x14ac:dyDescent="0.25">
      <c r="AD936" s="27"/>
    </row>
    <row r="937" spans="30:30" x14ac:dyDescent="0.25">
      <c r="AD937" s="27"/>
    </row>
    <row r="938" spans="30:30" x14ac:dyDescent="0.25">
      <c r="AD938" s="27"/>
    </row>
    <row r="939" spans="30:30" x14ac:dyDescent="0.25">
      <c r="AD939" s="27"/>
    </row>
    <row r="940" spans="30:30" x14ac:dyDescent="0.25">
      <c r="AD940" s="27"/>
    </row>
    <row r="941" spans="30:30" x14ac:dyDescent="0.25">
      <c r="AD941" s="27"/>
    </row>
    <row r="942" spans="30:30" x14ac:dyDescent="0.25">
      <c r="AD942" s="27"/>
    </row>
    <row r="943" spans="30:30" x14ac:dyDescent="0.25">
      <c r="AD943" s="27"/>
    </row>
    <row r="944" spans="30:30" x14ac:dyDescent="0.25">
      <c r="AD944" s="27"/>
    </row>
    <row r="945" spans="30:30" x14ac:dyDescent="0.25">
      <c r="AD945" s="27"/>
    </row>
    <row r="946" spans="30:30" x14ac:dyDescent="0.25">
      <c r="AD946" s="27"/>
    </row>
    <row r="947" spans="30:30" x14ac:dyDescent="0.25">
      <c r="AD947" s="27"/>
    </row>
    <row r="948" spans="30:30" x14ac:dyDescent="0.25">
      <c r="AD948" s="27"/>
    </row>
    <row r="949" spans="30:30" x14ac:dyDescent="0.25">
      <c r="AD949" s="27"/>
    </row>
    <row r="950" spans="30:30" x14ac:dyDescent="0.25">
      <c r="AD950" s="27"/>
    </row>
    <row r="951" spans="30:30" x14ac:dyDescent="0.25">
      <c r="AD951" s="27"/>
    </row>
    <row r="952" spans="30:30" x14ac:dyDescent="0.25">
      <c r="AD952" s="27"/>
    </row>
    <row r="953" spans="30:30" x14ac:dyDescent="0.25">
      <c r="AD953" s="27"/>
    </row>
    <row r="954" spans="30:30" x14ac:dyDescent="0.25">
      <c r="AD954" s="27"/>
    </row>
    <row r="955" spans="30:30" x14ac:dyDescent="0.25">
      <c r="AD955" s="27"/>
    </row>
    <row r="956" spans="30:30" x14ac:dyDescent="0.25">
      <c r="AD956" s="27"/>
    </row>
    <row r="957" spans="30:30" x14ac:dyDescent="0.25">
      <c r="AD957" s="27"/>
    </row>
    <row r="958" spans="30:30" x14ac:dyDescent="0.25">
      <c r="AD958" s="27"/>
    </row>
    <row r="959" spans="30:30" x14ac:dyDescent="0.25">
      <c r="AD959" s="27"/>
    </row>
    <row r="960" spans="30:30" x14ac:dyDescent="0.25">
      <c r="AD960" s="27"/>
    </row>
    <row r="961" spans="30:30" x14ac:dyDescent="0.25">
      <c r="AD961" s="27"/>
    </row>
    <row r="962" spans="30:30" x14ac:dyDescent="0.25">
      <c r="AD962" s="27"/>
    </row>
    <row r="963" spans="30:30" x14ac:dyDescent="0.25">
      <c r="AD963" s="27"/>
    </row>
    <row r="964" spans="30:30" x14ac:dyDescent="0.25">
      <c r="AD964" s="27"/>
    </row>
    <row r="965" spans="30:30" x14ac:dyDescent="0.25">
      <c r="AD965" s="27"/>
    </row>
    <row r="966" spans="30:30" x14ac:dyDescent="0.25">
      <c r="AD966" s="27"/>
    </row>
    <row r="967" spans="30:30" x14ac:dyDescent="0.25">
      <c r="AD967" s="27"/>
    </row>
    <row r="968" spans="30:30" x14ac:dyDescent="0.25">
      <c r="AD968" s="27"/>
    </row>
    <row r="969" spans="30:30" x14ac:dyDescent="0.25">
      <c r="AD969" s="27"/>
    </row>
    <row r="970" spans="30:30" x14ac:dyDescent="0.25">
      <c r="AD970" s="27"/>
    </row>
    <row r="971" spans="30:30" x14ac:dyDescent="0.25">
      <c r="AD971" s="27"/>
    </row>
    <row r="972" spans="30:30" x14ac:dyDescent="0.25">
      <c r="AD972" s="27"/>
    </row>
    <row r="973" spans="30:30" x14ac:dyDescent="0.25">
      <c r="AD973" s="27"/>
    </row>
    <row r="974" spans="30:30" x14ac:dyDescent="0.25">
      <c r="AD974" s="27"/>
    </row>
    <row r="975" spans="30:30" x14ac:dyDescent="0.25">
      <c r="AD975" s="27"/>
    </row>
    <row r="976" spans="30:30" x14ac:dyDescent="0.25">
      <c r="AD976" s="27"/>
    </row>
    <row r="977" spans="30:30" x14ac:dyDescent="0.25">
      <c r="AD977" s="27"/>
    </row>
    <row r="978" spans="30:30" x14ac:dyDescent="0.25">
      <c r="AD978" s="27"/>
    </row>
    <row r="979" spans="30:30" x14ac:dyDescent="0.25">
      <c r="AD979" s="27"/>
    </row>
    <row r="980" spans="30:30" x14ac:dyDescent="0.25">
      <c r="AD980" s="27"/>
    </row>
    <row r="981" spans="30:30" x14ac:dyDescent="0.25">
      <c r="AD981" s="27"/>
    </row>
    <row r="982" spans="30:30" x14ac:dyDescent="0.25">
      <c r="AD982" s="27"/>
    </row>
    <row r="983" spans="30:30" x14ac:dyDescent="0.25">
      <c r="AD983" s="27"/>
    </row>
    <row r="984" spans="30:30" x14ac:dyDescent="0.25">
      <c r="AD984" s="27"/>
    </row>
    <row r="985" spans="30:30" x14ac:dyDescent="0.25">
      <c r="AD985" s="27"/>
    </row>
    <row r="986" spans="30:30" x14ac:dyDescent="0.25">
      <c r="AD986" s="27"/>
    </row>
    <row r="987" spans="30:30" x14ac:dyDescent="0.25">
      <c r="AD987" s="27"/>
    </row>
    <row r="988" spans="30:30" x14ac:dyDescent="0.25">
      <c r="AD988" s="27"/>
    </row>
    <row r="989" spans="30:30" x14ac:dyDescent="0.25">
      <c r="AD989" s="27"/>
    </row>
    <row r="990" spans="30:30" x14ac:dyDescent="0.25">
      <c r="AD990" s="27"/>
    </row>
    <row r="991" spans="30:30" x14ac:dyDescent="0.25">
      <c r="AD991" s="27"/>
    </row>
    <row r="992" spans="30:30" x14ac:dyDescent="0.25">
      <c r="AD992" s="27"/>
    </row>
    <row r="993" spans="30:30" x14ac:dyDescent="0.25">
      <c r="AD993" s="27"/>
    </row>
    <row r="994" spans="30:30" x14ac:dyDescent="0.25">
      <c r="AD994" s="27"/>
    </row>
    <row r="995" spans="30:30" x14ac:dyDescent="0.25">
      <c r="AD995" s="27"/>
    </row>
    <row r="996" spans="30:30" x14ac:dyDescent="0.25">
      <c r="AD996" s="27"/>
    </row>
    <row r="997" spans="30:30" x14ac:dyDescent="0.25">
      <c r="AD997" s="27"/>
    </row>
    <row r="998" spans="30:30" x14ac:dyDescent="0.25">
      <c r="AD998" s="27"/>
    </row>
    <row r="999" spans="30:30" x14ac:dyDescent="0.25">
      <c r="AD999" s="27"/>
    </row>
    <row r="1000" spans="30:30" x14ac:dyDescent="0.25">
      <c r="AD1000" s="27"/>
    </row>
    <row r="1001" spans="30:30" x14ac:dyDescent="0.25">
      <c r="AD1001" s="27"/>
    </row>
    <row r="1002" spans="30:30" x14ac:dyDescent="0.25">
      <c r="AD1002" s="27"/>
    </row>
    <row r="1003" spans="30:30" x14ac:dyDescent="0.25">
      <c r="AD1003" s="27"/>
    </row>
    <row r="1004" spans="30:30" x14ac:dyDescent="0.25">
      <c r="AD1004" s="27"/>
    </row>
    <row r="1005" spans="30:30" x14ac:dyDescent="0.25">
      <c r="AD1005" s="27"/>
    </row>
    <row r="1006" spans="30:30" x14ac:dyDescent="0.25">
      <c r="AD1006" s="27"/>
    </row>
    <row r="1007" spans="30:30" x14ac:dyDescent="0.25">
      <c r="AD1007" s="27"/>
    </row>
    <row r="1008" spans="30:30" x14ac:dyDescent="0.25">
      <c r="AD1008" s="27"/>
    </row>
    <row r="1009" spans="30:30" x14ac:dyDescent="0.25">
      <c r="AD1009" s="27"/>
    </row>
    <row r="1010" spans="30:30" x14ac:dyDescent="0.25">
      <c r="AD1010" s="27"/>
    </row>
    <row r="1011" spans="30:30" x14ac:dyDescent="0.25">
      <c r="AD1011" s="27"/>
    </row>
    <row r="1012" spans="30:30" x14ac:dyDescent="0.25">
      <c r="AD1012" s="27"/>
    </row>
    <row r="1013" spans="30:30" x14ac:dyDescent="0.25">
      <c r="AD1013" s="27"/>
    </row>
    <row r="1014" spans="30:30" x14ac:dyDescent="0.25">
      <c r="AD1014" s="27"/>
    </row>
    <row r="1015" spans="30:30" x14ac:dyDescent="0.25">
      <c r="AD1015" s="27"/>
    </row>
    <row r="1016" spans="30:30" x14ac:dyDescent="0.25">
      <c r="AD1016" s="27"/>
    </row>
    <row r="1017" spans="30:30" x14ac:dyDescent="0.25">
      <c r="AD1017" s="27"/>
    </row>
    <row r="1018" spans="30:30" x14ac:dyDescent="0.25">
      <c r="AD1018" s="27"/>
    </row>
    <row r="1019" spans="30:30" x14ac:dyDescent="0.25">
      <c r="AD1019" s="27"/>
    </row>
    <row r="1020" spans="30:30" x14ac:dyDescent="0.25">
      <c r="AD1020" s="27"/>
    </row>
    <row r="1021" spans="30:30" x14ac:dyDescent="0.25">
      <c r="AD1021" s="27"/>
    </row>
    <row r="1022" spans="30:30" x14ac:dyDescent="0.25">
      <c r="AD1022" s="27"/>
    </row>
    <row r="1023" spans="30:30" x14ac:dyDescent="0.25">
      <c r="AD1023" s="27"/>
    </row>
    <row r="1024" spans="30:30" x14ac:dyDescent="0.25">
      <c r="AD1024" s="27"/>
    </row>
    <row r="1025" spans="30:30" x14ac:dyDescent="0.25">
      <c r="AD1025" s="27"/>
    </row>
    <row r="1026" spans="30:30" x14ac:dyDescent="0.25">
      <c r="AD1026" s="27"/>
    </row>
    <row r="1027" spans="30:30" x14ac:dyDescent="0.25">
      <c r="AD1027" s="27"/>
    </row>
    <row r="1028" spans="30:30" x14ac:dyDescent="0.25">
      <c r="AD1028" s="27"/>
    </row>
    <row r="1029" spans="30:30" x14ac:dyDescent="0.25">
      <c r="AD1029" s="27"/>
    </row>
    <row r="1030" spans="30:30" x14ac:dyDescent="0.25">
      <c r="AD1030" s="27"/>
    </row>
    <row r="1031" spans="30:30" x14ac:dyDescent="0.25">
      <c r="AD1031" s="27"/>
    </row>
    <row r="1032" spans="30:30" x14ac:dyDescent="0.25">
      <c r="AD1032" s="27"/>
    </row>
    <row r="1033" spans="30:30" x14ac:dyDescent="0.25">
      <c r="AD1033" s="27"/>
    </row>
    <row r="1034" spans="30:30" x14ac:dyDescent="0.25">
      <c r="AD1034" s="27"/>
    </row>
    <row r="1035" spans="30:30" x14ac:dyDescent="0.25">
      <c r="AD1035" s="27"/>
    </row>
    <row r="1036" spans="30:30" x14ac:dyDescent="0.25">
      <c r="AD1036" s="27"/>
    </row>
    <row r="1037" spans="30:30" x14ac:dyDescent="0.25">
      <c r="AD1037" s="27"/>
    </row>
    <row r="1038" spans="30:30" x14ac:dyDescent="0.25">
      <c r="AD1038" s="27"/>
    </row>
    <row r="1039" spans="30:30" x14ac:dyDescent="0.25">
      <c r="AD1039" s="27"/>
    </row>
    <row r="1040" spans="30:30" x14ac:dyDescent="0.25">
      <c r="AD1040" s="27"/>
    </row>
    <row r="1041" spans="30:30" x14ac:dyDescent="0.25">
      <c r="AD1041" s="27"/>
    </row>
    <row r="1042" spans="30:30" x14ac:dyDescent="0.25">
      <c r="AD1042" s="27"/>
    </row>
    <row r="1043" spans="30:30" x14ac:dyDescent="0.25">
      <c r="AD1043" s="27"/>
    </row>
    <row r="1044" spans="30:30" x14ac:dyDescent="0.25">
      <c r="AD1044" s="27"/>
    </row>
    <row r="1045" spans="30:30" x14ac:dyDescent="0.25">
      <c r="AD1045" s="27"/>
    </row>
    <row r="1046" spans="30:30" x14ac:dyDescent="0.25">
      <c r="AD1046" s="27"/>
    </row>
    <row r="1047" spans="30:30" x14ac:dyDescent="0.25">
      <c r="AD1047" s="27"/>
    </row>
    <row r="1048" spans="30:30" x14ac:dyDescent="0.25">
      <c r="AD1048" s="27"/>
    </row>
    <row r="1049" spans="30:30" x14ac:dyDescent="0.25">
      <c r="AD1049" s="27"/>
    </row>
    <row r="1050" spans="30:30" x14ac:dyDescent="0.25">
      <c r="AD1050" s="27"/>
    </row>
    <row r="1051" spans="30:30" x14ac:dyDescent="0.25">
      <c r="AD1051" s="27"/>
    </row>
    <row r="1052" spans="30:30" x14ac:dyDescent="0.25">
      <c r="AD1052" s="27"/>
    </row>
    <row r="1053" spans="30:30" x14ac:dyDescent="0.25">
      <c r="AD1053" s="27"/>
    </row>
    <row r="1054" spans="30:30" x14ac:dyDescent="0.25">
      <c r="AD1054" s="27"/>
    </row>
    <row r="1055" spans="30:30" x14ac:dyDescent="0.25">
      <c r="AD1055" s="27"/>
    </row>
    <row r="1056" spans="30:30" x14ac:dyDescent="0.25">
      <c r="AD1056" s="27"/>
    </row>
    <row r="1057" spans="30:30" x14ac:dyDescent="0.25">
      <c r="AD1057" s="27"/>
    </row>
    <row r="1058" spans="30:30" x14ac:dyDescent="0.25">
      <c r="AD1058" s="27"/>
    </row>
    <row r="1059" spans="30:30" x14ac:dyDescent="0.25">
      <c r="AD1059" s="27"/>
    </row>
    <row r="1060" spans="30:30" x14ac:dyDescent="0.25">
      <c r="AD1060" s="27"/>
    </row>
    <row r="1061" spans="30:30" x14ac:dyDescent="0.25">
      <c r="AD1061" s="27"/>
    </row>
    <row r="1062" spans="30:30" x14ac:dyDescent="0.25">
      <c r="AD1062" s="27"/>
    </row>
    <row r="1063" spans="30:30" x14ac:dyDescent="0.25">
      <c r="AD1063" s="27"/>
    </row>
    <row r="1064" spans="30:30" x14ac:dyDescent="0.25">
      <c r="AD1064" s="27"/>
    </row>
    <row r="1065" spans="30:30" x14ac:dyDescent="0.25">
      <c r="AD1065" s="27"/>
    </row>
    <row r="1066" spans="30:30" x14ac:dyDescent="0.25">
      <c r="AD1066" s="27"/>
    </row>
    <row r="1067" spans="30:30" x14ac:dyDescent="0.25">
      <c r="AD1067" s="27"/>
    </row>
    <row r="1068" spans="30:30" x14ac:dyDescent="0.25">
      <c r="AD1068" s="27"/>
    </row>
    <row r="1069" spans="30:30" x14ac:dyDescent="0.25">
      <c r="AD1069" s="27"/>
    </row>
    <row r="1070" spans="30:30" x14ac:dyDescent="0.25">
      <c r="AD1070" s="27"/>
    </row>
    <row r="1071" spans="30:30" x14ac:dyDescent="0.25">
      <c r="AD1071" s="27"/>
    </row>
    <row r="1072" spans="30:30" x14ac:dyDescent="0.25">
      <c r="AD1072" s="27"/>
    </row>
    <row r="1073" spans="30:30" x14ac:dyDescent="0.25">
      <c r="AD1073" s="27"/>
    </row>
    <row r="1074" spans="30:30" x14ac:dyDescent="0.25">
      <c r="AD1074" s="27"/>
    </row>
    <row r="1075" spans="30:30" x14ac:dyDescent="0.25">
      <c r="AD1075" s="27"/>
    </row>
    <row r="1076" spans="30:30" x14ac:dyDescent="0.25">
      <c r="AD1076" s="27"/>
    </row>
    <row r="1077" spans="30:30" x14ac:dyDescent="0.25">
      <c r="AD1077" s="27"/>
    </row>
    <row r="1078" spans="30:30" x14ac:dyDescent="0.25">
      <c r="AD1078" s="27"/>
    </row>
    <row r="1079" spans="30:30" x14ac:dyDescent="0.25">
      <c r="AD1079" s="27"/>
    </row>
    <row r="1080" spans="30:30" x14ac:dyDescent="0.25">
      <c r="AD1080" s="27"/>
    </row>
    <row r="1081" spans="30:30" x14ac:dyDescent="0.25">
      <c r="AD1081" s="27"/>
    </row>
    <row r="1082" spans="30:30" x14ac:dyDescent="0.25">
      <c r="AD1082" s="27"/>
    </row>
    <row r="1083" spans="30:30" x14ac:dyDescent="0.25">
      <c r="AD1083" s="27"/>
    </row>
    <row r="1084" spans="30:30" x14ac:dyDescent="0.25">
      <c r="AD1084" s="27"/>
    </row>
    <row r="1085" spans="30:30" x14ac:dyDescent="0.25">
      <c r="AD1085" s="27"/>
    </row>
    <row r="1086" spans="30:30" x14ac:dyDescent="0.25">
      <c r="AD1086" s="27"/>
    </row>
    <row r="1087" spans="30:30" x14ac:dyDescent="0.25">
      <c r="AD1087" s="27"/>
    </row>
    <row r="1088" spans="30:30" x14ac:dyDescent="0.25">
      <c r="AD1088" s="27"/>
    </row>
    <row r="1089" spans="30:30" x14ac:dyDescent="0.25">
      <c r="AD1089" s="27"/>
    </row>
    <row r="1090" spans="30:30" x14ac:dyDescent="0.25">
      <c r="AD1090" s="27"/>
    </row>
    <row r="1091" spans="30:30" x14ac:dyDescent="0.25">
      <c r="AD1091" s="27"/>
    </row>
    <row r="1092" spans="30:30" x14ac:dyDescent="0.25">
      <c r="AD1092" s="27"/>
    </row>
    <row r="1093" spans="30:30" x14ac:dyDescent="0.25">
      <c r="AD1093" s="27"/>
    </row>
    <row r="1094" spans="30:30" x14ac:dyDescent="0.25">
      <c r="AD1094" s="27"/>
    </row>
    <row r="1095" spans="30:30" x14ac:dyDescent="0.25">
      <c r="AD1095" s="27"/>
    </row>
    <row r="1096" spans="30:30" x14ac:dyDescent="0.25">
      <c r="AD1096" s="27"/>
    </row>
    <row r="1097" spans="30:30" x14ac:dyDescent="0.25">
      <c r="AD1097" s="27"/>
    </row>
    <row r="1098" spans="30:30" x14ac:dyDescent="0.25">
      <c r="AD1098" s="27"/>
    </row>
    <row r="1099" spans="30:30" x14ac:dyDescent="0.25">
      <c r="AD1099" s="27"/>
    </row>
    <row r="1100" spans="30:30" x14ac:dyDescent="0.25">
      <c r="AD1100" s="27"/>
    </row>
    <row r="1101" spans="30:30" x14ac:dyDescent="0.25">
      <c r="AD1101" s="27"/>
    </row>
    <row r="1102" spans="30:30" x14ac:dyDescent="0.25">
      <c r="AD1102" s="27"/>
    </row>
    <row r="1103" spans="30:30" x14ac:dyDescent="0.25">
      <c r="AD1103" s="27"/>
    </row>
    <row r="1104" spans="30:30" x14ac:dyDescent="0.25">
      <c r="AD1104" s="27"/>
    </row>
    <row r="1105" spans="30:30" x14ac:dyDescent="0.25">
      <c r="AD1105" s="27"/>
    </row>
    <row r="1106" spans="30:30" x14ac:dyDescent="0.25">
      <c r="AD1106" s="27"/>
    </row>
    <row r="1107" spans="30:30" x14ac:dyDescent="0.25">
      <c r="AD1107" s="27"/>
    </row>
    <row r="1108" spans="30:30" x14ac:dyDescent="0.25">
      <c r="AD1108" s="27"/>
    </row>
    <row r="1109" spans="30:30" x14ac:dyDescent="0.25">
      <c r="AD1109" s="27"/>
    </row>
    <row r="1110" spans="30:30" x14ac:dyDescent="0.25">
      <c r="AD1110" s="27"/>
    </row>
    <row r="1111" spans="30:30" x14ac:dyDescent="0.25">
      <c r="AD1111" s="27"/>
    </row>
    <row r="1112" spans="30:30" x14ac:dyDescent="0.25">
      <c r="AD1112" s="27"/>
    </row>
    <row r="1113" spans="30:30" x14ac:dyDescent="0.25">
      <c r="AD1113" s="27"/>
    </row>
    <row r="1114" spans="30:30" x14ac:dyDescent="0.25">
      <c r="AD1114" s="27"/>
    </row>
    <row r="1115" spans="30:30" x14ac:dyDescent="0.25">
      <c r="AD1115" s="27"/>
    </row>
    <row r="1116" spans="30:30" x14ac:dyDescent="0.25">
      <c r="AD1116" s="27"/>
    </row>
    <row r="1117" spans="30:30" x14ac:dyDescent="0.25">
      <c r="AD1117" s="27"/>
    </row>
    <row r="1118" spans="30:30" x14ac:dyDescent="0.25">
      <c r="AD1118" s="27"/>
    </row>
    <row r="1119" spans="30:30" x14ac:dyDescent="0.25">
      <c r="AD1119" s="27"/>
    </row>
    <row r="1120" spans="30:30" x14ac:dyDescent="0.25">
      <c r="AD1120" s="27"/>
    </row>
    <row r="1121" spans="30:30" x14ac:dyDescent="0.25">
      <c r="AD1121" s="27"/>
    </row>
    <row r="1122" spans="30:30" x14ac:dyDescent="0.25">
      <c r="AD1122" s="27"/>
    </row>
    <row r="1123" spans="30:30" x14ac:dyDescent="0.25">
      <c r="AD1123" s="27"/>
    </row>
    <row r="1124" spans="30:30" x14ac:dyDescent="0.25">
      <c r="AD1124" s="27"/>
    </row>
    <row r="1125" spans="30:30" x14ac:dyDescent="0.25">
      <c r="AD1125" s="27"/>
    </row>
    <row r="1126" spans="30:30" x14ac:dyDescent="0.25">
      <c r="AD1126" s="27"/>
    </row>
    <row r="1127" spans="30:30" x14ac:dyDescent="0.25">
      <c r="AD1127" s="27"/>
    </row>
    <row r="1128" spans="30:30" x14ac:dyDescent="0.25">
      <c r="AD1128" s="27"/>
    </row>
    <row r="1129" spans="30:30" x14ac:dyDescent="0.25">
      <c r="AD1129" s="27"/>
    </row>
    <row r="1130" spans="30:30" x14ac:dyDescent="0.25">
      <c r="AD1130" s="27"/>
    </row>
    <row r="1131" spans="30:30" x14ac:dyDescent="0.25">
      <c r="AD1131" s="27"/>
    </row>
    <row r="1132" spans="30:30" x14ac:dyDescent="0.25">
      <c r="AD1132" s="27"/>
    </row>
    <row r="1133" spans="30:30" x14ac:dyDescent="0.25">
      <c r="AD1133" s="27"/>
    </row>
    <row r="1134" spans="30:30" x14ac:dyDescent="0.25">
      <c r="AD1134" s="27"/>
    </row>
    <row r="1135" spans="30:30" x14ac:dyDescent="0.25">
      <c r="AD1135" s="27"/>
    </row>
    <row r="1136" spans="30:30" x14ac:dyDescent="0.25">
      <c r="AD1136" s="27"/>
    </row>
    <row r="1137" spans="30:30" x14ac:dyDescent="0.25">
      <c r="AD1137" s="27"/>
    </row>
    <row r="1138" spans="30:30" x14ac:dyDescent="0.25">
      <c r="AD1138" s="27"/>
    </row>
    <row r="1139" spans="30:30" x14ac:dyDescent="0.25">
      <c r="AD1139" s="27"/>
    </row>
    <row r="1140" spans="30:30" x14ac:dyDescent="0.25">
      <c r="AD1140" s="27"/>
    </row>
    <row r="1141" spans="30:30" x14ac:dyDescent="0.25">
      <c r="AD1141" s="27"/>
    </row>
    <row r="1142" spans="30:30" x14ac:dyDescent="0.25">
      <c r="AD1142" s="27"/>
    </row>
    <row r="1143" spans="30:30" x14ac:dyDescent="0.25">
      <c r="AD1143" s="27"/>
    </row>
    <row r="1144" spans="30:30" x14ac:dyDescent="0.25">
      <c r="AD1144" s="27"/>
    </row>
    <row r="1145" spans="30:30" x14ac:dyDescent="0.25">
      <c r="AD1145" s="27"/>
    </row>
    <row r="1146" spans="30:30" x14ac:dyDescent="0.25">
      <c r="AD1146" s="27"/>
    </row>
    <row r="1147" spans="30:30" x14ac:dyDescent="0.25">
      <c r="AD1147" s="27"/>
    </row>
    <row r="1148" spans="30:30" x14ac:dyDescent="0.25">
      <c r="AD1148" s="27"/>
    </row>
    <row r="1149" spans="30:30" x14ac:dyDescent="0.25">
      <c r="AD1149" s="27"/>
    </row>
    <row r="1150" spans="30:30" x14ac:dyDescent="0.25">
      <c r="AD1150" s="27"/>
    </row>
    <row r="1151" spans="30:30" x14ac:dyDescent="0.25">
      <c r="AD1151" s="27"/>
    </row>
    <row r="1152" spans="30:30" x14ac:dyDescent="0.25">
      <c r="AD1152" s="27"/>
    </row>
    <row r="1153" spans="30:30" x14ac:dyDescent="0.25">
      <c r="AD1153" s="27"/>
    </row>
    <row r="1154" spans="30:30" x14ac:dyDescent="0.25">
      <c r="AD1154" s="27"/>
    </row>
    <row r="1155" spans="30:30" x14ac:dyDescent="0.25">
      <c r="AD1155" s="27"/>
    </row>
    <row r="1156" spans="30:30" x14ac:dyDescent="0.25">
      <c r="AD1156" s="27"/>
    </row>
    <row r="1157" spans="30:30" x14ac:dyDescent="0.25">
      <c r="AD1157" s="27"/>
    </row>
    <row r="1158" spans="30:30" x14ac:dyDescent="0.25">
      <c r="AD1158" s="27"/>
    </row>
    <row r="1159" spans="30:30" x14ac:dyDescent="0.25">
      <c r="AD1159" s="27"/>
    </row>
    <row r="1160" spans="30:30" x14ac:dyDescent="0.25">
      <c r="AD1160" s="27"/>
    </row>
    <row r="1161" spans="30:30" x14ac:dyDescent="0.25">
      <c r="AD1161" s="27"/>
    </row>
    <row r="1162" spans="30:30" x14ac:dyDescent="0.25">
      <c r="AD1162" s="27"/>
    </row>
    <row r="1163" spans="30:30" x14ac:dyDescent="0.25">
      <c r="AD1163" s="27"/>
    </row>
    <row r="1164" spans="30:30" x14ac:dyDescent="0.25">
      <c r="AD1164" s="27"/>
    </row>
    <row r="1165" spans="30:30" x14ac:dyDescent="0.25">
      <c r="AD1165" s="27"/>
    </row>
    <row r="1166" spans="30:30" x14ac:dyDescent="0.25">
      <c r="AD1166" s="27"/>
    </row>
    <row r="1167" spans="30:30" x14ac:dyDescent="0.25">
      <c r="AD1167" s="27"/>
    </row>
    <row r="1168" spans="30:30" x14ac:dyDescent="0.25">
      <c r="AD1168" s="27"/>
    </row>
    <row r="1169" spans="30:30" x14ac:dyDescent="0.25">
      <c r="AD1169" s="27"/>
    </row>
    <row r="1170" spans="30:30" x14ac:dyDescent="0.25">
      <c r="AD1170" s="27"/>
    </row>
    <row r="1171" spans="30:30" x14ac:dyDescent="0.25">
      <c r="AD1171" s="27"/>
    </row>
    <row r="1172" spans="30:30" x14ac:dyDescent="0.25">
      <c r="AD1172" s="27"/>
    </row>
    <row r="1173" spans="30:30" x14ac:dyDescent="0.25">
      <c r="AD1173" s="27"/>
    </row>
    <row r="1174" spans="30:30" x14ac:dyDescent="0.25">
      <c r="AD1174" s="27"/>
    </row>
    <row r="1175" spans="30:30" x14ac:dyDescent="0.25">
      <c r="AD1175" s="27"/>
    </row>
    <row r="1176" spans="30:30" x14ac:dyDescent="0.25">
      <c r="AD1176" s="27"/>
    </row>
    <row r="1177" spans="30:30" x14ac:dyDescent="0.25">
      <c r="AD1177" s="27"/>
    </row>
    <row r="1178" spans="30:30" x14ac:dyDescent="0.25">
      <c r="AD1178" s="27"/>
    </row>
    <row r="1179" spans="30:30" x14ac:dyDescent="0.25">
      <c r="AD1179" s="27"/>
    </row>
    <row r="1180" spans="30:30" x14ac:dyDescent="0.25">
      <c r="AD1180" s="27"/>
    </row>
    <row r="1181" spans="30:30" x14ac:dyDescent="0.25">
      <c r="AD1181" s="27"/>
    </row>
    <row r="1182" spans="30:30" x14ac:dyDescent="0.25">
      <c r="AD1182" s="27"/>
    </row>
    <row r="1183" spans="30:30" x14ac:dyDescent="0.25">
      <c r="AD1183" s="27"/>
    </row>
    <row r="1184" spans="30:30" x14ac:dyDescent="0.25">
      <c r="AD1184" s="27"/>
    </row>
    <row r="1185" spans="30:30" x14ac:dyDescent="0.25">
      <c r="AD1185" s="27"/>
    </row>
    <row r="1186" spans="30:30" x14ac:dyDescent="0.25">
      <c r="AD1186" s="27"/>
    </row>
    <row r="1187" spans="30:30" x14ac:dyDescent="0.25">
      <c r="AD1187" s="27"/>
    </row>
    <row r="1188" spans="30:30" x14ac:dyDescent="0.25">
      <c r="AD1188" s="27"/>
    </row>
    <row r="1189" spans="30:30" x14ac:dyDescent="0.25">
      <c r="AD1189" s="27"/>
    </row>
    <row r="1190" spans="30:30" x14ac:dyDescent="0.25">
      <c r="AD1190" s="27"/>
    </row>
    <row r="1191" spans="30:30" x14ac:dyDescent="0.25">
      <c r="AD1191" s="27"/>
    </row>
    <row r="1192" spans="30:30" x14ac:dyDescent="0.25">
      <c r="AD1192" s="27"/>
    </row>
    <row r="1193" spans="30:30" x14ac:dyDescent="0.25">
      <c r="AD1193" s="27"/>
    </row>
    <row r="1194" spans="30:30" x14ac:dyDescent="0.25">
      <c r="AD1194" s="27"/>
    </row>
    <row r="1195" spans="30:30" x14ac:dyDescent="0.25">
      <c r="AD1195" s="27"/>
    </row>
    <row r="1196" spans="30:30" x14ac:dyDescent="0.25">
      <c r="AD1196" s="27"/>
    </row>
    <row r="1197" spans="30:30" x14ac:dyDescent="0.25">
      <c r="AD1197" s="27"/>
    </row>
    <row r="1198" spans="30:30" x14ac:dyDescent="0.25">
      <c r="AD1198" s="27"/>
    </row>
    <row r="1199" spans="30:30" x14ac:dyDescent="0.25">
      <c r="AD1199" s="27"/>
    </row>
    <row r="1200" spans="30:30" x14ac:dyDescent="0.25">
      <c r="AD1200" s="27"/>
    </row>
    <row r="1201" spans="30:30" x14ac:dyDescent="0.25">
      <c r="AD1201" s="27"/>
    </row>
    <row r="1202" spans="30:30" x14ac:dyDescent="0.25">
      <c r="AD1202" s="27"/>
    </row>
    <row r="1203" spans="30:30" x14ac:dyDescent="0.25">
      <c r="AD1203" s="27"/>
    </row>
    <row r="1204" spans="30:30" x14ac:dyDescent="0.25">
      <c r="AD1204" s="27"/>
    </row>
    <row r="1205" spans="30:30" x14ac:dyDescent="0.25">
      <c r="AD1205" s="27"/>
    </row>
    <row r="1206" spans="30:30" x14ac:dyDescent="0.25">
      <c r="AD1206" s="27"/>
    </row>
    <row r="1207" spans="30:30" x14ac:dyDescent="0.25">
      <c r="AD1207" s="27"/>
    </row>
    <row r="1208" spans="30:30" x14ac:dyDescent="0.25">
      <c r="AD1208" s="27"/>
    </row>
    <row r="1209" spans="30:30" x14ac:dyDescent="0.25">
      <c r="AD1209" s="27"/>
    </row>
    <row r="1210" spans="30:30" x14ac:dyDescent="0.25">
      <c r="AD1210" s="27"/>
    </row>
    <row r="1211" spans="30:30" x14ac:dyDescent="0.25">
      <c r="AD1211" s="27"/>
    </row>
    <row r="1212" spans="30:30" x14ac:dyDescent="0.25">
      <c r="AD1212" s="27"/>
    </row>
    <row r="1213" spans="30:30" x14ac:dyDescent="0.25">
      <c r="AD1213" s="27"/>
    </row>
    <row r="1214" spans="30:30" x14ac:dyDescent="0.25">
      <c r="AD1214" s="27"/>
    </row>
    <row r="1215" spans="30:30" x14ac:dyDescent="0.25">
      <c r="AD1215" s="27"/>
    </row>
    <row r="1216" spans="30:30" x14ac:dyDescent="0.25">
      <c r="AD1216" s="27"/>
    </row>
    <row r="1217" spans="30:30" x14ac:dyDescent="0.25">
      <c r="AD1217" s="27"/>
    </row>
    <row r="1218" spans="30:30" x14ac:dyDescent="0.25">
      <c r="AD1218" s="27"/>
    </row>
    <row r="1219" spans="30:30" x14ac:dyDescent="0.25">
      <c r="AD1219" s="27"/>
    </row>
    <row r="1220" spans="30:30" x14ac:dyDescent="0.25">
      <c r="AD1220" s="27"/>
    </row>
    <row r="1221" spans="30:30" x14ac:dyDescent="0.25">
      <c r="AD1221" s="27"/>
    </row>
    <row r="1222" spans="30:30" x14ac:dyDescent="0.25">
      <c r="AD1222" s="27"/>
    </row>
    <row r="1223" spans="30:30" x14ac:dyDescent="0.25">
      <c r="AD1223" s="27"/>
    </row>
    <row r="1224" spans="30:30" x14ac:dyDescent="0.25">
      <c r="AD1224" s="27"/>
    </row>
    <row r="1225" spans="30:30" x14ac:dyDescent="0.25">
      <c r="AD1225" s="27"/>
    </row>
    <row r="1226" spans="30:30" x14ac:dyDescent="0.25">
      <c r="AD1226" s="27"/>
    </row>
    <row r="1227" spans="30:30" x14ac:dyDescent="0.25">
      <c r="AD1227" s="27"/>
    </row>
    <row r="1228" spans="30:30" x14ac:dyDescent="0.25">
      <c r="AD1228" s="27"/>
    </row>
    <row r="1229" spans="30:30" x14ac:dyDescent="0.25">
      <c r="AD1229" s="27"/>
    </row>
    <row r="1230" spans="30:30" x14ac:dyDescent="0.25">
      <c r="AD1230" s="27"/>
    </row>
    <row r="1231" spans="30:30" x14ac:dyDescent="0.25">
      <c r="AD1231" s="27"/>
    </row>
    <row r="1232" spans="30:30" x14ac:dyDescent="0.25">
      <c r="AD1232" s="27"/>
    </row>
    <row r="1233" spans="30:30" x14ac:dyDescent="0.25">
      <c r="AD1233" s="27"/>
    </row>
    <row r="1234" spans="30:30" x14ac:dyDescent="0.25">
      <c r="AD1234" s="27"/>
    </row>
    <row r="1235" spans="30:30" x14ac:dyDescent="0.25">
      <c r="AD1235" s="27"/>
    </row>
    <row r="1236" spans="30:30" x14ac:dyDescent="0.25">
      <c r="AD1236" s="27"/>
    </row>
    <row r="1237" spans="30:30" x14ac:dyDescent="0.25">
      <c r="AD1237" s="27"/>
    </row>
    <row r="1238" spans="30:30" x14ac:dyDescent="0.25">
      <c r="AD1238" s="27"/>
    </row>
    <row r="1239" spans="30:30" x14ac:dyDescent="0.25">
      <c r="AD1239" s="27"/>
    </row>
    <row r="1240" spans="30:30" x14ac:dyDescent="0.25">
      <c r="AD1240" s="27"/>
    </row>
    <row r="1241" spans="30:30" x14ac:dyDescent="0.25">
      <c r="AD1241" s="27"/>
    </row>
    <row r="1242" spans="30:30" x14ac:dyDescent="0.25">
      <c r="AD1242" s="27"/>
    </row>
    <row r="1243" spans="30:30" x14ac:dyDescent="0.25">
      <c r="AD1243" s="27"/>
    </row>
    <row r="1244" spans="30:30" x14ac:dyDescent="0.25">
      <c r="AD1244" s="27"/>
    </row>
    <row r="1245" spans="30:30" x14ac:dyDescent="0.25">
      <c r="AD1245" s="27"/>
    </row>
    <row r="1246" spans="30:30" x14ac:dyDescent="0.25">
      <c r="AD1246" s="27"/>
    </row>
    <row r="1247" spans="30:30" x14ac:dyDescent="0.25">
      <c r="AD1247" s="27"/>
    </row>
    <row r="1248" spans="30:30" x14ac:dyDescent="0.25">
      <c r="AD1248" s="27"/>
    </row>
    <row r="1249" spans="30:30" x14ac:dyDescent="0.25">
      <c r="AD1249" s="27"/>
    </row>
    <row r="1250" spans="30:30" x14ac:dyDescent="0.25">
      <c r="AD1250" s="27"/>
    </row>
    <row r="1251" spans="30:30" x14ac:dyDescent="0.25">
      <c r="AD1251" s="27"/>
    </row>
    <row r="1252" spans="30:30" x14ac:dyDescent="0.25">
      <c r="AD1252" s="27"/>
    </row>
    <row r="1253" spans="30:30" x14ac:dyDescent="0.25">
      <c r="AD1253" s="27"/>
    </row>
    <row r="1254" spans="30:30" x14ac:dyDescent="0.25">
      <c r="AD1254" s="27"/>
    </row>
    <row r="1255" spans="30:30" x14ac:dyDescent="0.25">
      <c r="AD1255" s="27"/>
    </row>
    <row r="1256" spans="30:30" x14ac:dyDescent="0.25">
      <c r="AD1256" s="27"/>
    </row>
    <row r="1257" spans="30:30" x14ac:dyDescent="0.25">
      <c r="AD1257" s="27"/>
    </row>
    <row r="1258" spans="30:30" x14ac:dyDescent="0.25">
      <c r="AD1258" s="27"/>
    </row>
    <row r="1259" spans="30:30" x14ac:dyDescent="0.25">
      <c r="AD1259" s="27"/>
    </row>
    <row r="1260" spans="30:30" x14ac:dyDescent="0.25">
      <c r="AD1260" s="27"/>
    </row>
    <row r="1261" spans="30:30" x14ac:dyDescent="0.25">
      <c r="AD1261" s="27"/>
    </row>
    <row r="1262" spans="30:30" x14ac:dyDescent="0.25">
      <c r="AD1262" s="27"/>
    </row>
    <row r="1263" spans="30:30" x14ac:dyDescent="0.25">
      <c r="AD1263" s="27"/>
    </row>
    <row r="1264" spans="30:30" x14ac:dyDescent="0.25">
      <c r="AD1264" s="27"/>
    </row>
    <row r="1265" spans="30:30" x14ac:dyDescent="0.25">
      <c r="AD1265" s="27"/>
    </row>
    <row r="1266" spans="30:30" x14ac:dyDescent="0.25">
      <c r="AD1266" s="27"/>
    </row>
    <row r="1267" spans="30:30" x14ac:dyDescent="0.25">
      <c r="AD1267" s="27"/>
    </row>
    <row r="1268" spans="30:30" x14ac:dyDescent="0.25">
      <c r="AD1268" s="27"/>
    </row>
    <row r="1269" spans="30:30" x14ac:dyDescent="0.25">
      <c r="AD1269" s="27"/>
    </row>
    <row r="1270" spans="30:30" x14ac:dyDescent="0.25">
      <c r="AD1270" s="27"/>
    </row>
    <row r="1271" spans="30:30" x14ac:dyDescent="0.25">
      <c r="AD1271" s="27"/>
    </row>
    <row r="1272" spans="30:30" x14ac:dyDescent="0.25">
      <c r="AD1272" s="27"/>
    </row>
    <row r="1273" spans="30:30" x14ac:dyDescent="0.25">
      <c r="AD1273" s="27"/>
    </row>
    <row r="1274" spans="30:30" x14ac:dyDescent="0.25">
      <c r="AD1274" s="27"/>
    </row>
    <row r="1275" spans="30:30" x14ac:dyDescent="0.25">
      <c r="AD1275" s="27"/>
    </row>
    <row r="1276" spans="30:30" x14ac:dyDescent="0.25">
      <c r="AD1276" s="27"/>
    </row>
    <row r="1277" spans="30:30" x14ac:dyDescent="0.25">
      <c r="AD1277" s="27"/>
    </row>
    <row r="1278" spans="30:30" x14ac:dyDescent="0.25">
      <c r="AD1278" s="27"/>
    </row>
    <row r="1279" spans="30:30" x14ac:dyDescent="0.25">
      <c r="AD1279" s="27"/>
    </row>
    <row r="1280" spans="30:30" x14ac:dyDescent="0.25">
      <c r="AD1280" s="27"/>
    </row>
    <row r="1281" spans="30:30" x14ac:dyDescent="0.25">
      <c r="AD1281" s="27"/>
    </row>
    <row r="1282" spans="30:30" x14ac:dyDescent="0.25">
      <c r="AD1282" s="27"/>
    </row>
    <row r="1283" spans="30:30" x14ac:dyDescent="0.25">
      <c r="AD1283" s="27"/>
    </row>
    <row r="1284" spans="30:30" x14ac:dyDescent="0.25">
      <c r="AD1284" s="27"/>
    </row>
    <row r="1285" spans="30:30" x14ac:dyDescent="0.25">
      <c r="AD1285" s="27"/>
    </row>
    <row r="1286" spans="30:30" x14ac:dyDescent="0.25">
      <c r="AD1286" s="27"/>
    </row>
  </sheetData>
  <mergeCells count="8">
    <mergeCell ref="AY1:BB1"/>
    <mergeCell ref="BC1:BF1"/>
    <mergeCell ref="A1:R1"/>
    <mergeCell ref="S1:X1"/>
    <mergeCell ref="Y1:AC1"/>
    <mergeCell ref="AD1:AI1"/>
    <mergeCell ref="AJ1:AO1"/>
    <mergeCell ref="AP1:A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E4937-4D49-4FC9-8336-563A76C1DB27}">
  <dimension ref="A1:AI107"/>
  <sheetViews>
    <sheetView tabSelected="1" topLeftCell="J34" zoomScale="74" workbookViewId="0">
      <selection activeCell="E72" sqref="E72"/>
    </sheetView>
  </sheetViews>
  <sheetFormatPr defaultRowHeight="15" x14ac:dyDescent="0.25"/>
  <cols>
    <col min="1" max="1" width="16.7109375" style="1" bestFit="1" customWidth="1"/>
    <col min="2" max="2" width="20" style="1" bestFit="1" customWidth="1"/>
    <col min="3" max="3" width="22.7109375" style="1" bestFit="1" customWidth="1"/>
    <col min="4" max="4" width="23.85546875" style="1" bestFit="1" customWidth="1"/>
    <col min="5" max="5" width="22.85546875" style="1" bestFit="1" customWidth="1"/>
    <col min="6" max="6" width="37.28515625" style="1" bestFit="1" customWidth="1"/>
    <col min="7" max="7" width="15.42578125" style="1" bestFit="1" customWidth="1"/>
    <col min="8" max="8" width="16.7109375" style="1" bestFit="1" customWidth="1"/>
    <col min="9" max="9" width="18.42578125" style="1" bestFit="1" customWidth="1"/>
    <col min="10" max="10" width="21.85546875" style="1" bestFit="1" customWidth="1"/>
    <col min="11" max="11" width="18" style="1" bestFit="1" customWidth="1"/>
    <col min="12" max="12" width="22.28515625" style="1" bestFit="1" customWidth="1"/>
    <col min="13" max="13" width="16.28515625" style="1" customWidth="1"/>
    <col min="14" max="14" width="15.28515625" style="1" bestFit="1" customWidth="1"/>
    <col min="15" max="15" width="16.7109375" style="1" bestFit="1" customWidth="1"/>
    <col min="16" max="16" width="14.140625" style="1" bestFit="1" customWidth="1"/>
    <col min="17" max="17" width="15" style="1" bestFit="1" customWidth="1"/>
    <col min="18" max="18" width="16.42578125" style="1" customWidth="1"/>
    <col min="19" max="19" width="13" style="1" bestFit="1" customWidth="1"/>
    <col min="20" max="20" width="22.7109375" style="1" bestFit="1" customWidth="1"/>
    <col min="21" max="21" width="9.140625" style="1"/>
    <col min="22" max="22" width="18.42578125" style="1" bestFit="1" customWidth="1"/>
    <col min="23" max="23" width="16.7109375" style="1" bestFit="1" customWidth="1"/>
    <col min="24" max="24" width="16.140625" style="1" bestFit="1" customWidth="1"/>
    <col min="25" max="25" width="15.28515625" style="1" bestFit="1" customWidth="1"/>
    <col min="26" max="26" width="31.140625" style="1" bestFit="1" customWidth="1"/>
    <col min="27" max="27" width="15.85546875" style="1" bestFit="1" customWidth="1"/>
    <col min="28" max="28" width="13.85546875" style="1" bestFit="1" customWidth="1"/>
    <col min="29" max="29" width="11.7109375" style="1" bestFit="1" customWidth="1"/>
    <col min="30" max="30" width="16" style="1" bestFit="1" customWidth="1"/>
    <col min="31" max="31" width="16.7109375" style="1" bestFit="1" customWidth="1"/>
    <col min="32" max="32" width="12.140625" style="1" bestFit="1" customWidth="1"/>
    <col min="33" max="33" width="19.5703125" style="1" bestFit="1" customWidth="1"/>
    <col min="34" max="34" width="18.7109375" style="1" bestFit="1" customWidth="1"/>
    <col min="35" max="35" width="12.42578125" style="1" bestFit="1" customWidth="1"/>
    <col min="36" max="16384" width="9.140625" style="1"/>
  </cols>
  <sheetData>
    <row r="1" spans="1:11" ht="18.75" x14ac:dyDescent="0.25">
      <c r="A1" s="24" t="s">
        <v>599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x14ac:dyDescent="0.25">
      <c r="A2" s="4" t="s">
        <v>603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643</v>
      </c>
      <c r="K2" s="4" t="s">
        <v>644</v>
      </c>
    </row>
    <row r="3" spans="1:11" x14ac:dyDescent="0.25">
      <c r="A3" s="3" t="s">
        <v>52</v>
      </c>
      <c r="B3" s="3" t="s">
        <v>53</v>
      </c>
      <c r="C3" s="3" t="s">
        <v>54</v>
      </c>
      <c r="D3" s="3" t="s">
        <v>55</v>
      </c>
      <c r="E3" s="3" t="s">
        <v>56</v>
      </c>
      <c r="F3" s="3" t="s">
        <v>57</v>
      </c>
      <c r="G3" s="3" t="s">
        <v>58</v>
      </c>
      <c r="H3" s="3" t="s">
        <v>59</v>
      </c>
      <c r="I3" s="3" t="s">
        <v>60</v>
      </c>
      <c r="J3" s="3" t="s">
        <v>61</v>
      </c>
      <c r="K3" s="3" t="s">
        <v>62</v>
      </c>
    </row>
    <row r="4" spans="1:11" x14ac:dyDescent="0.25">
      <c r="A4" s="3" t="s">
        <v>91</v>
      </c>
      <c r="B4" s="3" t="s">
        <v>92</v>
      </c>
      <c r="C4" s="3" t="s">
        <v>93</v>
      </c>
      <c r="D4" s="3" t="s">
        <v>94</v>
      </c>
      <c r="E4" s="3" t="s">
        <v>95</v>
      </c>
      <c r="F4" s="3" t="s">
        <v>96</v>
      </c>
      <c r="G4" s="3" t="s">
        <v>97</v>
      </c>
      <c r="H4" s="3" t="s">
        <v>98</v>
      </c>
      <c r="I4" s="3" t="s">
        <v>60</v>
      </c>
      <c r="J4" s="3" t="s">
        <v>99</v>
      </c>
      <c r="K4" s="3" t="s">
        <v>100</v>
      </c>
    </row>
    <row r="5" spans="1:11" x14ac:dyDescent="0.25">
      <c r="A5" s="3" t="s">
        <v>118</v>
      </c>
      <c r="B5" s="3" t="s">
        <v>119</v>
      </c>
      <c r="C5" s="3" t="s">
        <v>120</v>
      </c>
      <c r="D5" s="3" t="s">
        <v>121</v>
      </c>
      <c r="E5" s="3" t="s">
        <v>56</v>
      </c>
      <c r="F5" s="3" t="s">
        <v>122</v>
      </c>
      <c r="G5" s="3" t="s">
        <v>123</v>
      </c>
      <c r="H5" s="3" t="s">
        <v>124</v>
      </c>
      <c r="I5" s="3" t="s">
        <v>60</v>
      </c>
      <c r="J5" s="3" t="s">
        <v>125</v>
      </c>
      <c r="K5" s="3" t="s">
        <v>126</v>
      </c>
    </row>
    <row r="6" spans="1:11" x14ac:dyDescent="0.25">
      <c r="A6" s="3" t="s">
        <v>145</v>
      </c>
      <c r="B6" s="3" t="s">
        <v>146</v>
      </c>
      <c r="C6" s="3" t="s">
        <v>147</v>
      </c>
      <c r="D6" s="3" t="s">
        <v>148</v>
      </c>
      <c r="E6" s="3" t="s">
        <v>95</v>
      </c>
      <c r="F6" s="3" t="s">
        <v>149</v>
      </c>
      <c r="G6" s="3" t="s">
        <v>150</v>
      </c>
      <c r="H6" s="3" t="s">
        <v>151</v>
      </c>
      <c r="I6" s="3" t="s">
        <v>60</v>
      </c>
      <c r="J6" s="3" t="s">
        <v>152</v>
      </c>
      <c r="K6" s="3" t="s">
        <v>153</v>
      </c>
    </row>
    <row r="7" spans="1:11" x14ac:dyDescent="0.25">
      <c r="A7" s="3" t="s">
        <v>167</v>
      </c>
      <c r="B7" s="3" t="s">
        <v>168</v>
      </c>
      <c r="C7" s="3" t="s">
        <v>169</v>
      </c>
      <c r="D7" s="3" t="s">
        <v>170</v>
      </c>
      <c r="E7" s="3" t="s">
        <v>56</v>
      </c>
      <c r="F7" s="3" t="s">
        <v>171</v>
      </c>
      <c r="G7" s="3" t="s">
        <v>172</v>
      </c>
      <c r="H7" s="3" t="s">
        <v>173</v>
      </c>
      <c r="I7" s="3" t="s">
        <v>60</v>
      </c>
      <c r="J7" s="3" t="s">
        <v>174</v>
      </c>
      <c r="K7" s="3" t="s">
        <v>175</v>
      </c>
    </row>
    <row r="8" spans="1:11" x14ac:dyDescent="0.25">
      <c r="A8" s="3" t="s">
        <v>190</v>
      </c>
      <c r="B8" s="3" t="s">
        <v>191</v>
      </c>
      <c r="C8" s="3" t="s">
        <v>192</v>
      </c>
      <c r="D8" s="3" t="s">
        <v>193</v>
      </c>
      <c r="E8" s="3" t="s">
        <v>95</v>
      </c>
      <c r="F8" s="3" t="s">
        <v>194</v>
      </c>
      <c r="G8" s="3" t="s">
        <v>195</v>
      </c>
      <c r="H8" s="3" t="s">
        <v>196</v>
      </c>
      <c r="I8" s="3" t="s">
        <v>60</v>
      </c>
      <c r="J8" s="3" t="s">
        <v>61</v>
      </c>
      <c r="K8" s="3" t="s">
        <v>153</v>
      </c>
    </row>
    <row r="9" spans="1:11" x14ac:dyDescent="0.25">
      <c r="A9" s="3" t="s">
        <v>207</v>
      </c>
      <c r="B9" s="3" t="s">
        <v>208</v>
      </c>
      <c r="C9" s="3" t="s">
        <v>209</v>
      </c>
      <c r="D9" s="3" t="s">
        <v>210</v>
      </c>
      <c r="E9" s="3" t="s">
        <v>56</v>
      </c>
      <c r="F9" s="3" t="s">
        <v>211</v>
      </c>
      <c r="G9" s="3" t="s">
        <v>212</v>
      </c>
      <c r="H9" s="3" t="s">
        <v>213</v>
      </c>
      <c r="I9" s="3" t="s">
        <v>60</v>
      </c>
      <c r="J9" s="3" t="s">
        <v>125</v>
      </c>
      <c r="K9" s="3" t="s">
        <v>175</v>
      </c>
    </row>
    <row r="10" spans="1:11" x14ac:dyDescent="0.25">
      <c r="A10" s="3" t="s">
        <v>225</v>
      </c>
      <c r="B10" s="3" t="s">
        <v>226</v>
      </c>
      <c r="C10" s="3" t="s">
        <v>227</v>
      </c>
      <c r="D10" s="3" t="s">
        <v>228</v>
      </c>
      <c r="E10" s="3" t="s">
        <v>95</v>
      </c>
      <c r="F10" s="3" t="s">
        <v>229</v>
      </c>
      <c r="G10" s="3" t="s">
        <v>230</v>
      </c>
      <c r="H10" s="3" t="s">
        <v>231</v>
      </c>
      <c r="I10" s="3" t="s">
        <v>60</v>
      </c>
      <c r="J10" s="3" t="s">
        <v>99</v>
      </c>
      <c r="K10" s="3" t="s">
        <v>153</v>
      </c>
    </row>
    <row r="11" spans="1:11" x14ac:dyDescent="0.25">
      <c r="A11" s="3" t="s">
        <v>240</v>
      </c>
      <c r="B11" s="3" t="s">
        <v>241</v>
      </c>
      <c r="C11" s="3" t="s">
        <v>242</v>
      </c>
      <c r="D11" s="3" t="s">
        <v>243</v>
      </c>
      <c r="E11" s="3" t="s">
        <v>56</v>
      </c>
      <c r="F11" s="3" t="s">
        <v>244</v>
      </c>
      <c r="G11" s="3" t="s">
        <v>245</v>
      </c>
      <c r="H11" s="3" t="s">
        <v>246</v>
      </c>
      <c r="I11" s="3" t="s">
        <v>60</v>
      </c>
      <c r="J11" s="3" t="s">
        <v>125</v>
      </c>
      <c r="K11" s="3" t="s">
        <v>247</v>
      </c>
    </row>
    <row r="12" spans="1:11" x14ac:dyDescent="0.25">
      <c r="A12" s="3" t="s">
        <v>257</v>
      </c>
      <c r="B12" s="3" t="s">
        <v>258</v>
      </c>
      <c r="C12" s="3" t="s">
        <v>259</v>
      </c>
      <c r="D12" s="3" t="s">
        <v>260</v>
      </c>
      <c r="E12" s="3" t="s">
        <v>95</v>
      </c>
      <c r="F12" s="3" t="s">
        <v>261</v>
      </c>
      <c r="G12" s="3" t="s">
        <v>262</v>
      </c>
      <c r="H12" s="3" t="s">
        <v>263</v>
      </c>
      <c r="I12" s="3" t="s">
        <v>60</v>
      </c>
      <c r="J12" s="3" t="s">
        <v>152</v>
      </c>
      <c r="K12" s="3" t="s">
        <v>100</v>
      </c>
    </row>
    <row r="13" spans="1:11" x14ac:dyDescent="0.25">
      <c r="A13" s="3" t="s">
        <v>274</v>
      </c>
      <c r="B13" s="3" t="s">
        <v>275</v>
      </c>
      <c r="C13" s="3" t="s">
        <v>276</v>
      </c>
      <c r="D13" s="3" t="s">
        <v>277</v>
      </c>
      <c r="E13" s="3" t="s">
        <v>56</v>
      </c>
      <c r="F13" s="3" t="s">
        <v>278</v>
      </c>
      <c r="G13" s="3" t="s">
        <v>279</v>
      </c>
      <c r="H13" s="3" t="s">
        <v>280</v>
      </c>
      <c r="I13" s="3" t="s">
        <v>60</v>
      </c>
      <c r="J13" s="3" t="s">
        <v>174</v>
      </c>
      <c r="K13" s="3" t="s">
        <v>175</v>
      </c>
    </row>
    <row r="14" spans="1:11" x14ac:dyDescent="0.25">
      <c r="A14" s="3" t="s">
        <v>288</v>
      </c>
      <c r="B14" s="3" t="s">
        <v>289</v>
      </c>
      <c r="C14" s="3" t="s">
        <v>290</v>
      </c>
      <c r="D14" s="3" t="s">
        <v>291</v>
      </c>
      <c r="E14" s="3" t="s">
        <v>95</v>
      </c>
      <c r="F14" s="3" t="s">
        <v>292</v>
      </c>
      <c r="G14" s="3" t="s">
        <v>293</v>
      </c>
      <c r="H14" s="3" t="s">
        <v>294</v>
      </c>
      <c r="I14" s="3" t="s">
        <v>60</v>
      </c>
      <c r="J14" s="3" t="s">
        <v>61</v>
      </c>
      <c r="K14" s="3" t="s">
        <v>62</v>
      </c>
    </row>
    <row r="15" spans="1:11" x14ac:dyDescent="0.25">
      <c r="A15" s="3" t="s">
        <v>303</v>
      </c>
      <c r="B15" s="3" t="s">
        <v>304</v>
      </c>
      <c r="C15" s="3" t="s">
        <v>305</v>
      </c>
      <c r="D15" s="3" t="s">
        <v>306</v>
      </c>
      <c r="E15" s="3" t="s">
        <v>56</v>
      </c>
      <c r="F15" s="3" t="s">
        <v>307</v>
      </c>
      <c r="G15" s="3" t="s">
        <v>308</v>
      </c>
      <c r="H15" s="3" t="s">
        <v>309</v>
      </c>
      <c r="I15" s="3" t="s">
        <v>60</v>
      </c>
      <c r="J15" s="3" t="s">
        <v>125</v>
      </c>
      <c r="K15" s="3" t="s">
        <v>175</v>
      </c>
    </row>
    <row r="16" spans="1:11" x14ac:dyDescent="0.25">
      <c r="A16" s="3" t="s">
        <v>318</v>
      </c>
      <c r="B16" s="3" t="s">
        <v>319</v>
      </c>
      <c r="C16" s="3" t="s">
        <v>320</v>
      </c>
      <c r="D16" s="3" t="s">
        <v>321</v>
      </c>
      <c r="E16" s="3" t="s">
        <v>95</v>
      </c>
      <c r="F16" s="3" t="s">
        <v>322</v>
      </c>
      <c r="G16" s="3" t="s">
        <v>323</v>
      </c>
      <c r="H16" s="3" t="s">
        <v>324</v>
      </c>
      <c r="I16" s="3" t="s">
        <v>60</v>
      </c>
      <c r="J16" s="3" t="s">
        <v>99</v>
      </c>
      <c r="K16" s="3" t="s">
        <v>100</v>
      </c>
    </row>
    <row r="17" spans="1:11" x14ac:dyDescent="0.25">
      <c r="A17" s="3" t="s">
        <v>333</v>
      </c>
      <c r="B17" s="3" t="s">
        <v>334</v>
      </c>
      <c r="C17" s="3" t="s">
        <v>335</v>
      </c>
      <c r="D17" s="3" t="s">
        <v>336</v>
      </c>
      <c r="E17" s="3" t="s">
        <v>56</v>
      </c>
      <c r="F17" s="3" t="s">
        <v>337</v>
      </c>
      <c r="G17" s="3" t="s">
        <v>338</v>
      </c>
      <c r="H17" s="3" t="s">
        <v>339</v>
      </c>
      <c r="I17" s="3" t="s">
        <v>60</v>
      </c>
      <c r="J17" s="3" t="s">
        <v>152</v>
      </c>
      <c r="K17" s="3" t="s">
        <v>175</v>
      </c>
    </row>
    <row r="18" spans="1:11" x14ac:dyDescent="0.25">
      <c r="A18" s="3" t="s">
        <v>348</v>
      </c>
      <c r="B18" s="3" t="s">
        <v>349</v>
      </c>
      <c r="C18" s="3" t="s">
        <v>350</v>
      </c>
      <c r="D18" s="3" t="s">
        <v>351</v>
      </c>
      <c r="E18" s="3" t="s">
        <v>95</v>
      </c>
      <c r="F18" s="3" t="s">
        <v>352</v>
      </c>
      <c r="G18" s="3" t="s">
        <v>353</v>
      </c>
      <c r="H18" s="3" t="s">
        <v>354</v>
      </c>
      <c r="I18" s="3" t="s">
        <v>60</v>
      </c>
      <c r="J18" s="3" t="s">
        <v>61</v>
      </c>
      <c r="K18" s="3" t="s">
        <v>355</v>
      </c>
    </row>
    <row r="19" spans="1:11" x14ac:dyDescent="0.25">
      <c r="A19" s="3" t="s">
        <v>366</v>
      </c>
      <c r="B19" s="3" t="s">
        <v>367</v>
      </c>
      <c r="C19" s="3" t="s">
        <v>368</v>
      </c>
      <c r="D19" s="3" t="s">
        <v>369</v>
      </c>
      <c r="E19" s="3" t="s">
        <v>56</v>
      </c>
      <c r="F19" s="3" t="s">
        <v>370</v>
      </c>
      <c r="G19" s="3" t="s">
        <v>371</v>
      </c>
      <c r="H19" s="3" t="s">
        <v>372</v>
      </c>
      <c r="I19" s="3" t="s">
        <v>60</v>
      </c>
      <c r="J19" s="3" t="s">
        <v>174</v>
      </c>
      <c r="K19" s="3" t="s">
        <v>175</v>
      </c>
    </row>
    <row r="20" spans="1:11" x14ac:dyDescent="0.25">
      <c r="A20" s="3" t="s">
        <v>381</v>
      </c>
      <c r="B20" s="3" t="s">
        <v>382</v>
      </c>
      <c r="C20" s="3" t="s">
        <v>383</v>
      </c>
      <c r="D20" s="3" t="s">
        <v>384</v>
      </c>
      <c r="E20" s="3" t="s">
        <v>95</v>
      </c>
      <c r="F20" s="3" t="s">
        <v>385</v>
      </c>
      <c r="G20" s="3" t="s">
        <v>386</v>
      </c>
      <c r="H20" s="3" t="s">
        <v>387</v>
      </c>
      <c r="I20" s="3" t="s">
        <v>60</v>
      </c>
      <c r="J20" s="3" t="s">
        <v>99</v>
      </c>
      <c r="K20" s="3" t="s">
        <v>153</v>
      </c>
    </row>
    <row r="21" spans="1:11" x14ac:dyDescent="0.25">
      <c r="A21" s="3" t="s">
        <v>397</v>
      </c>
      <c r="B21" s="3" t="s">
        <v>398</v>
      </c>
      <c r="C21" s="3" t="s">
        <v>399</v>
      </c>
      <c r="D21" s="3" t="s">
        <v>400</v>
      </c>
      <c r="E21" s="3" t="s">
        <v>56</v>
      </c>
      <c r="F21" s="3" t="s">
        <v>401</v>
      </c>
      <c r="G21" s="3" t="s">
        <v>402</v>
      </c>
      <c r="H21" s="3" t="s">
        <v>403</v>
      </c>
      <c r="I21" s="3" t="s">
        <v>60</v>
      </c>
      <c r="J21" s="3" t="s">
        <v>125</v>
      </c>
      <c r="K21" s="3" t="s">
        <v>247</v>
      </c>
    </row>
    <row r="22" spans="1:11" x14ac:dyDescent="0.25">
      <c r="A22" s="3" t="s">
        <v>412</v>
      </c>
      <c r="B22" s="3" t="s">
        <v>413</v>
      </c>
      <c r="C22" s="3" t="s">
        <v>414</v>
      </c>
      <c r="D22" s="3" t="s">
        <v>415</v>
      </c>
      <c r="E22" s="3" t="s">
        <v>95</v>
      </c>
      <c r="F22" s="3" t="s">
        <v>416</v>
      </c>
      <c r="G22" s="3" t="s">
        <v>417</v>
      </c>
      <c r="H22" s="3" t="s">
        <v>418</v>
      </c>
      <c r="I22" s="3" t="s">
        <v>60</v>
      </c>
      <c r="J22" s="3" t="s">
        <v>152</v>
      </c>
      <c r="K22" s="3" t="s">
        <v>153</v>
      </c>
    </row>
    <row r="23" spans="1:11" x14ac:dyDescent="0.25">
      <c r="A23" s="3" t="s">
        <v>427</v>
      </c>
      <c r="B23" s="3" t="s">
        <v>428</v>
      </c>
      <c r="C23" s="3" t="s">
        <v>429</v>
      </c>
      <c r="D23" s="3" t="s">
        <v>430</v>
      </c>
      <c r="E23" s="3" t="s">
        <v>56</v>
      </c>
      <c r="F23" s="3" t="s">
        <v>431</v>
      </c>
      <c r="G23" s="3" t="s">
        <v>432</v>
      </c>
      <c r="H23" s="3" t="s">
        <v>433</v>
      </c>
      <c r="I23" s="3" t="s">
        <v>60</v>
      </c>
      <c r="J23" s="3" t="s">
        <v>174</v>
      </c>
      <c r="K23" s="3" t="s">
        <v>100</v>
      </c>
    </row>
    <row r="24" spans="1:11" x14ac:dyDescent="0.25">
      <c r="A24" s="3" t="s">
        <v>442</v>
      </c>
      <c r="B24" s="3" t="s">
        <v>443</v>
      </c>
      <c r="C24" s="3" t="s">
        <v>444</v>
      </c>
      <c r="D24" s="3" t="s">
        <v>445</v>
      </c>
      <c r="E24" s="3" t="s">
        <v>95</v>
      </c>
      <c r="F24" s="3" t="s">
        <v>446</v>
      </c>
      <c r="G24" s="3" t="s">
        <v>447</v>
      </c>
      <c r="H24" s="3" t="s">
        <v>448</v>
      </c>
      <c r="I24" s="3" t="s">
        <v>60</v>
      </c>
      <c r="J24" s="3" t="s">
        <v>61</v>
      </c>
      <c r="K24" s="3" t="s">
        <v>175</v>
      </c>
    </row>
    <row r="25" spans="1:11" x14ac:dyDescent="0.25">
      <c r="A25" s="3" t="s">
        <v>457</v>
      </c>
      <c r="B25" s="3" t="s">
        <v>458</v>
      </c>
      <c r="C25" s="3" t="s">
        <v>459</v>
      </c>
      <c r="D25" s="3" t="s">
        <v>460</v>
      </c>
      <c r="E25" s="3" t="s">
        <v>56</v>
      </c>
      <c r="F25" s="3" t="s">
        <v>461</v>
      </c>
      <c r="G25" s="3" t="s">
        <v>462</v>
      </c>
      <c r="H25" s="3" t="s">
        <v>463</v>
      </c>
      <c r="I25" s="3" t="s">
        <v>60</v>
      </c>
      <c r="J25" s="3" t="s">
        <v>99</v>
      </c>
      <c r="K25" s="3" t="s">
        <v>62</v>
      </c>
    </row>
    <row r="26" spans="1:11" x14ac:dyDescent="0.25">
      <c r="A26" s="3" t="s">
        <v>472</v>
      </c>
      <c r="B26" s="3" t="s">
        <v>473</v>
      </c>
      <c r="C26" s="3" t="s">
        <v>474</v>
      </c>
      <c r="D26" s="3" t="s">
        <v>475</v>
      </c>
      <c r="E26" s="3" t="s">
        <v>95</v>
      </c>
      <c r="F26" s="3" t="s">
        <v>476</v>
      </c>
      <c r="G26" s="3" t="s">
        <v>477</v>
      </c>
      <c r="H26" s="3" t="s">
        <v>478</v>
      </c>
      <c r="I26" s="3" t="s">
        <v>60</v>
      </c>
      <c r="J26" s="3" t="s">
        <v>125</v>
      </c>
      <c r="K26" s="3" t="s">
        <v>175</v>
      </c>
    </row>
    <row r="27" spans="1:11" x14ac:dyDescent="0.25">
      <c r="A27" s="3" t="s">
        <v>487</v>
      </c>
      <c r="B27" s="3" t="s">
        <v>488</v>
      </c>
      <c r="C27" s="3" t="s">
        <v>489</v>
      </c>
      <c r="D27" s="3" t="s">
        <v>490</v>
      </c>
      <c r="E27" s="3" t="s">
        <v>56</v>
      </c>
      <c r="F27" s="3" t="s">
        <v>491</v>
      </c>
      <c r="G27" s="3" t="s">
        <v>492</v>
      </c>
      <c r="H27" s="3" t="s">
        <v>493</v>
      </c>
      <c r="I27" s="3" t="s">
        <v>60</v>
      </c>
      <c r="J27" s="3" t="s">
        <v>152</v>
      </c>
      <c r="K27" s="3" t="s">
        <v>62</v>
      </c>
    </row>
    <row r="28" spans="1:11" x14ac:dyDescent="0.25">
      <c r="A28" s="3" t="s">
        <v>502</v>
      </c>
      <c r="B28" s="3" t="s">
        <v>503</v>
      </c>
      <c r="C28" s="3" t="s">
        <v>504</v>
      </c>
      <c r="D28" s="3" t="s">
        <v>505</v>
      </c>
      <c r="E28" s="3" t="s">
        <v>95</v>
      </c>
      <c r="F28" s="3" t="s">
        <v>506</v>
      </c>
      <c r="G28" s="3" t="s">
        <v>507</v>
      </c>
      <c r="H28" s="3" t="s">
        <v>508</v>
      </c>
      <c r="I28" s="3" t="s">
        <v>60</v>
      </c>
      <c r="J28" s="3" t="s">
        <v>174</v>
      </c>
      <c r="K28" s="3" t="s">
        <v>175</v>
      </c>
    </row>
    <row r="29" spans="1:11" x14ac:dyDescent="0.25">
      <c r="A29" s="3" t="s">
        <v>517</v>
      </c>
      <c r="B29" s="3" t="s">
        <v>518</v>
      </c>
      <c r="C29" s="3" t="s">
        <v>519</v>
      </c>
      <c r="D29" s="3" t="s">
        <v>520</v>
      </c>
      <c r="E29" s="3" t="s">
        <v>56</v>
      </c>
      <c r="F29" s="3" t="s">
        <v>521</v>
      </c>
      <c r="G29" s="3" t="s">
        <v>522</v>
      </c>
      <c r="H29" s="3" t="s">
        <v>523</v>
      </c>
      <c r="I29" s="3" t="s">
        <v>60</v>
      </c>
      <c r="J29" s="3" t="s">
        <v>61</v>
      </c>
      <c r="K29" s="3" t="s">
        <v>153</v>
      </c>
    </row>
    <row r="30" spans="1:11" x14ac:dyDescent="0.25">
      <c r="A30" s="3" t="s">
        <v>532</v>
      </c>
      <c r="B30" s="3" t="s">
        <v>533</v>
      </c>
      <c r="C30" s="3" t="s">
        <v>534</v>
      </c>
      <c r="D30" s="3" t="s">
        <v>535</v>
      </c>
      <c r="E30" s="3" t="s">
        <v>95</v>
      </c>
      <c r="F30" s="3" t="s">
        <v>536</v>
      </c>
      <c r="G30" s="3" t="s">
        <v>537</v>
      </c>
      <c r="H30" s="3" t="s">
        <v>538</v>
      </c>
      <c r="I30" s="3" t="s">
        <v>60</v>
      </c>
      <c r="J30" s="3" t="s">
        <v>99</v>
      </c>
      <c r="K30" s="3" t="s">
        <v>100</v>
      </c>
    </row>
    <row r="31" spans="1:11" x14ac:dyDescent="0.25">
      <c r="A31" s="3" t="s">
        <v>547</v>
      </c>
      <c r="B31" s="3" t="s">
        <v>548</v>
      </c>
      <c r="C31" s="3" t="s">
        <v>549</v>
      </c>
      <c r="D31" s="3" t="s">
        <v>550</v>
      </c>
      <c r="E31" s="3" t="s">
        <v>56</v>
      </c>
      <c r="F31" s="3" t="s">
        <v>551</v>
      </c>
      <c r="G31" s="3" t="s">
        <v>552</v>
      </c>
      <c r="H31" s="3" t="s">
        <v>553</v>
      </c>
      <c r="I31" s="3" t="s">
        <v>60</v>
      </c>
      <c r="J31" s="3" t="s">
        <v>125</v>
      </c>
      <c r="K31" s="3" t="s">
        <v>175</v>
      </c>
    </row>
    <row r="32" spans="1:11" x14ac:dyDescent="0.25">
      <c r="A32" s="28" t="s">
        <v>563</v>
      </c>
      <c r="B32" s="28" t="s">
        <v>564</v>
      </c>
      <c r="C32" s="28" t="s">
        <v>565</v>
      </c>
      <c r="D32" s="28" t="s">
        <v>566</v>
      </c>
      <c r="E32" s="28" t="s">
        <v>95</v>
      </c>
      <c r="F32" s="28" t="s">
        <v>567</v>
      </c>
      <c r="G32" s="28" t="s">
        <v>568</v>
      </c>
      <c r="H32" s="28" t="s">
        <v>569</v>
      </c>
      <c r="I32" s="28" t="s">
        <v>60</v>
      </c>
      <c r="J32" s="28" t="s">
        <v>174</v>
      </c>
      <c r="K32" s="28" t="s">
        <v>153</v>
      </c>
    </row>
    <row r="33" spans="1:31" x14ac:dyDescent="0.25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</row>
    <row r="35" spans="1:31" x14ac:dyDescent="0.25">
      <c r="B35" s="23" t="s">
        <v>600</v>
      </c>
      <c r="C35" s="23"/>
      <c r="D35" s="23"/>
      <c r="E35" s="23"/>
      <c r="G35" s="23" t="s">
        <v>601</v>
      </c>
      <c r="H35" s="23"/>
      <c r="I35" s="23"/>
      <c r="J35" s="23"/>
      <c r="K35" s="23"/>
      <c r="N35" s="25" t="s">
        <v>602</v>
      </c>
      <c r="O35" s="25"/>
      <c r="P35" s="25"/>
      <c r="Q35" s="25"/>
      <c r="R35" s="25"/>
      <c r="S35" s="25"/>
      <c r="T35" s="25"/>
      <c r="V35" s="23" t="s">
        <v>604</v>
      </c>
      <c r="W35" s="23"/>
      <c r="X35" s="23"/>
      <c r="Y35" s="23"/>
      <c r="Z35" s="23"/>
      <c r="AA35" s="23"/>
      <c r="AB35" s="23"/>
      <c r="AC35" s="23"/>
      <c r="AD35" s="23"/>
      <c r="AE35" s="23"/>
    </row>
    <row r="36" spans="1:31" x14ac:dyDescent="0.25">
      <c r="B36" s="4" t="s">
        <v>651</v>
      </c>
      <c r="C36" s="4" t="s">
        <v>13</v>
      </c>
      <c r="D36" s="4" t="s">
        <v>14</v>
      </c>
      <c r="E36" s="4" t="s">
        <v>15</v>
      </c>
      <c r="G36" s="4" t="s">
        <v>652</v>
      </c>
      <c r="H36" s="4" t="s">
        <v>9</v>
      </c>
      <c r="I36" s="4" t="s">
        <v>10</v>
      </c>
      <c r="J36" s="4" t="s">
        <v>11</v>
      </c>
      <c r="K36" s="4" t="s">
        <v>12</v>
      </c>
      <c r="N36" s="4" t="s">
        <v>653</v>
      </c>
      <c r="O36" s="6" t="s">
        <v>645</v>
      </c>
      <c r="P36" s="4" t="s">
        <v>17</v>
      </c>
      <c r="Q36" s="4" t="s">
        <v>18</v>
      </c>
      <c r="R36" s="4" t="s">
        <v>19</v>
      </c>
      <c r="S36" s="4" t="s">
        <v>20</v>
      </c>
      <c r="T36" s="4" t="s">
        <v>21</v>
      </c>
      <c r="V36" s="4" t="s">
        <v>654</v>
      </c>
      <c r="W36" s="6" t="s">
        <v>0</v>
      </c>
      <c r="X36" s="4" t="s">
        <v>39</v>
      </c>
      <c r="Y36" s="4" t="s">
        <v>40</v>
      </c>
      <c r="Z36" s="4" t="s">
        <v>41</v>
      </c>
      <c r="AA36" s="4" t="s">
        <v>42</v>
      </c>
      <c r="AB36" s="4" t="s">
        <v>43</v>
      </c>
      <c r="AC36" s="4" t="s">
        <v>44</v>
      </c>
      <c r="AD36" s="4" t="s">
        <v>45</v>
      </c>
      <c r="AE36" s="4" t="s">
        <v>46</v>
      </c>
    </row>
    <row r="37" spans="1:31" x14ac:dyDescent="0.25">
      <c r="B37" s="3" t="s">
        <v>61</v>
      </c>
      <c r="C37" s="3" t="s">
        <v>65</v>
      </c>
      <c r="D37" s="3" t="s">
        <v>66</v>
      </c>
      <c r="E37" s="3" t="s">
        <v>67</v>
      </c>
      <c r="G37" s="3" t="s">
        <v>62</v>
      </c>
      <c r="H37" s="3" t="s">
        <v>63</v>
      </c>
      <c r="I37" s="3" t="s">
        <v>64</v>
      </c>
      <c r="J37" s="3">
        <v>8000000</v>
      </c>
      <c r="K37" s="3">
        <v>15000000</v>
      </c>
      <c r="N37" s="3" t="s">
        <v>68</v>
      </c>
      <c r="O37" s="5" t="s">
        <v>52</v>
      </c>
      <c r="P37" s="3" t="s">
        <v>69</v>
      </c>
      <c r="Q37" s="3" t="s">
        <v>59</v>
      </c>
      <c r="R37" s="3" t="s">
        <v>70</v>
      </c>
      <c r="S37" s="3">
        <v>10000000</v>
      </c>
      <c r="T37" s="3" t="s">
        <v>60</v>
      </c>
      <c r="V37" s="3" t="s">
        <v>81</v>
      </c>
      <c r="W37" s="5" t="s">
        <v>52</v>
      </c>
      <c r="X37" s="3" t="s">
        <v>82</v>
      </c>
      <c r="Y37" s="3" t="s">
        <v>83</v>
      </c>
      <c r="Z37" s="3">
        <v>2500000</v>
      </c>
      <c r="AA37" s="3">
        <v>1250000</v>
      </c>
      <c r="AB37" s="3">
        <v>75000</v>
      </c>
      <c r="AC37" s="3">
        <v>11325000</v>
      </c>
      <c r="AD37" s="3" t="s">
        <v>84</v>
      </c>
      <c r="AE37" s="3" t="s">
        <v>85</v>
      </c>
    </row>
    <row r="38" spans="1:31" x14ac:dyDescent="0.25">
      <c r="B38" s="3" t="s">
        <v>99</v>
      </c>
      <c r="C38" s="3" t="s">
        <v>103</v>
      </c>
      <c r="D38" s="3" t="s">
        <v>104</v>
      </c>
      <c r="E38" s="3" t="s">
        <v>105</v>
      </c>
      <c r="G38" s="3" t="s">
        <v>100</v>
      </c>
      <c r="H38" s="3" t="s">
        <v>101</v>
      </c>
      <c r="I38" s="3" t="s">
        <v>102</v>
      </c>
      <c r="J38" s="3">
        <v>3500000</v>
      </c>
      <c r="K38" s="3">
        <v>5500000</v>
      </c>
      <c r="N38" s="3" t="s">
        <v>106</v>
      </c>
      <c r="O38" s="5" t="s">
        <v>91</v>
      </c>
      <c r="P38" s="3" t="s">
        <v>69</v>
      </c>
      <c r="Q38" s="3" t="s">
        <v>98</v>
      </c>
      <c r="R38" s="3" t="s">
        <v>107</v>
      </c>
      <c r="S38" s="3">
        <v>4500000</v>
      </c>
      <c r="T38" s="3" t="s">
        <v>60</v>
      </c>
      <c r="V38" s="3" t="s">
        <v>112</v>
      </c>
      <c r="W38" s="5" t="s">
        <v>91</v>
      </c>
      <c r="X38" s="3" t="s">
        <v>82</v>
      </c>
      <c r="Y38" s="3">
        <v>2025</v>
      </c>
      <c r="Z38" s="3">
        <v>1200000</v>
      </c>
      <c r="AA38" s="3">
        <v>600000</v>
      </c>
      <c r="AB38" s="3">
        <v>0</v>
      </c>
      <c r="AC38" s="3">
        <v>5100000</v>
      </c>
      <c r="AD38" s="3" t="s">
        <v>84</v>
      </c>
      <c r="AE38" s="3" t="s">
        <v>85</v>
      </c>
    </row>
    <row r="39" spans="1:31" x14ac:dyDescent="0.25">
      <c r="B39" s="3" t="s">
        <v>125</v>
      </c>
      <c r="C39" s="3" t="s">
        <v>129</v>
      </c>
      <c r="D39" s="3" t="s">
        <v>130</v>
      </c>
      <c r="E39" s="3" t="s">
        <v>131</v>
      </c>
      <c r="G39" s="3" t="s">
        <v>126</v>
      </c>
      <c r="H39" s="3" t="s">
        <v>127</v>
      </c>
      <c r="I39" s="3" t="s">
        <v>128</v>
      </c>
      <c r="J39" s="3">
        <v>5500000</v>
      </c>
      <c r="K39" s="3">
        <v>9000000</v>
      </c>
      <c r="N39" s="3" t="s">
        <v>132</v>
      </c>
      <c r="O39" s="5" t="s">
        <v>118</v>
      </c>
      <c r="P39" s="3" t="s">
        <v>133</v>
      </c>
      <c r="Q39" s="3" t="s">
        <v>124</v>
      </c>
      <c r="R39" s="3" t="s">
        <v>134</v>
      </c>
      <c r="S39" s="3">
        <v>6000000</v>
      </c>
      <c r="T39" s="3" t="s">
        <v>60</v>
      </c>
      <c r="V39" s="3" t="s">
        <v>139</v>
      </c>
      <c r="W39" s="5" t="s">
        <v>118</v>
      </c>
      <c r="X39" s="3" t="s">
        <v>82</v>
      </c>
      <c r="Y39" s="3" t="s">
        <v>83</v>
      </c>
      <c r="Z39" s="3">
        <v>1500000</v>
      </c>
      <c r="AA39" s="3">
        <v>780000</v>
      </c>
      <c r="AB39" s="3">
        <v>55000</v>
      </c>
      <c r="AC39" s="3">
        <v>6775000</v>
      </c>
      <c r="AD39" s="3" t="s">
        <v>84</v>
      </c>
      <c r="AE39" s="3" t="s">
        <v>85</v>
      </c>
    </row>
    <row r="40" spans="1:31" x14ac:dyDescent="0.25">
      <c r="B40" s="3" t="s">
        <v>152</v>
      </c>
      <c r="C40" s="3" t="s">
        <v>155</v>
      </c>
      <c r="D40" s="3" t="s">
        <v>156</v>
      </c>
      <c r="E40" s="3" t="s">
        <v>157</v>
      </c>
      <c r="G40" s="3" t="s">
        <v>153</v>
      </c>
      <c r="H40" s="3" t="s">
        <v>154</v>
      </c>
      <c r="I40" s="3" t="s">
        <v>128</v>
      </c>
      <c r="J40" s="3">
        <v>5000000</v>
      </c>
      <c r="K40" s="3">
        <v>8000000</v>
      </c>
      <c r="N40" s="3" t="s">
        <v>158</v>
      </c>
      <c r="O40" s="5" t="s">
        <v>145</v>
      </c>
      <c r="P40" s="3" t="s">
        <v>69</v>
      </c>
      <c r="Q40" s="3" t="s">
        <v>151</v>
      </c>
      <c r="R40" s="3" t="s">
        <v>159</v>
      </c>
      <c r="S40" s="3">
        <v>6500000</v>
      </c>
      <c r="T40" s="3" t="s">
        <v>60</v>
      </c>
      <c r="V40" s="3" t="s">
        <v>164</v>
      </c>
      <c r="W40" s="5" t="s">
        <v>145</v>
      </c>
      <c r="X40" s="3" t="s">
        <v>82</v>
      </c>
      <c r="Y40" s="3" t="s">
        <v>83</v>
      </c>
      <c r="Z40" s="3">
        <v>1700000</v>
      </c>
      <c r="AA40" s="3">
        <v>850000</v>
      </c>
      <c r="AB40" s="3">
        <v>88000</v>
      </c>
      <c r="AC40" s="3">
        <v>7438000</v>
      </c>
      <c r="AD40" s="3" t="s">
        <v>84</v>
      </c>
      <c r="AE40" s="3" t="s">
        <v>85</v>
      </c>
    </row>
    <row r="41" spans="1:31" x14ac:dyDescent="0.25">
      <c r="B41" s="3" t="s">
        <v>174</v>
      </c>
      <c r="C41" s="3" t="s">
        <v>178</v>
      </c>
      <c r="D41" s="3" t="s">
        <v>179</v>
      </c>
      <c r="E41" s="3" t="s">
        <v>180</v>
      </c>
      <c r="G41" s="3" t="s">
        <v>175</v>
      </c>
      <c r="H41" s="3" t="s">
        <v>176</v>
      </c>
      <c r="I41" s="3" t="s">
        <v>177</v>
      </c>
      <c r="J41" s="3">
        <v>2500000</v>
      </c>
      <c r="K41" s="3">
        <v>3500000</v>
      </c>
      <c r="N41" s="3" t="s">
        <v>181</v>
      </c>
      <c r="O41" s="5" t="s">
        <v>167</v>
      </c>
      <c r="P41" s="3" t="s">
        <v>133</v>
      </c>
      <c r="Q41" s="3" t="s">
        <v>173</v>
      </c>
      <c r="R41" s="3" t="s">
        <v>182</v>
      </c>
      <c r="S41" s="3">
        <v>2800000</v>
      </c>
      <c r="T41" s="3" t="s">
        <v>60</v>
      </c>
      <c r="V41" s="3" t="s">
        <v>187</v>
      </c>
      <c r="W41" s="5" t="s">
        <v>167</v>
      </c>
      <c r="X41" s="3" t="s">
        <v>82</v>
      </c>
      <c r="Y41" s="3" t="s">
        <v>83</v>
      </c>
      <c r="Z41" s="3">
        <v>700000</v>
      </c>
      <c r="AA41" s="3">
        <v>364000</v>
      </c>
      <c r="AB41" s="3">
        <v>0</v>
      </c>
      <c r="AC41" s="3">
        <v>3136000</v>
      </c>
      <c r="AD41" s="3" t="s">
        <v>84</v>
      </c>
      <c r="AE41" s="3" t="s">
        <v>85</v>
      </c>
    </row>
    <row r="42" spans="1:31" x14ac:dyDescent="0.25">
      <c r="B42" s="3" t="s">
        <v>61</v>
      </c>
      <c r="C42" s="3" t="s">
        <v>65</v>
      </c>
      <c r="D42" s="3" t="s">
        <v>66</v>
      </c>
      <c r="E42" s="3" t="s">
        <v>67</v>
      </c>
      <c r="G42" s="3" t="s">
        <v>153</v>
      </c>
      <c r="H42" s="3" t="s">
        <v>154</v>
      </c>
      <c r="I42" s="3" t="s">
        <v>128</v>
      </c>
      <c r="J42" s="3">
        <v>5000000</v>
      </c>
      <c r="K42" s="3">
        <v>8000000</v>
      </c>
      <c r="N42" s="3" t="s">
        <v>197</v>
      </c>
      <c r="O42" s="5" t="s">
        <v>190</v>
      </c>
      <c r="P42" s="3" t="s">
        <v>69</v>
      </c>
      <c r="Q42" s="3" t="s">
        <v>196</v>
      </c>
      <c r="R42" s="3" t="s">
        <v>198</v>
      </c>
      <c r="S42" s="3">
        <v>5500000</v>
      </c>
      <c r="T42" s="3" t="s">
        <v>60</v>
      </c>
      <c r="V42" s="3" t="s">
        <v>203</v>
      </c>
      <c r="W42" s="5" t="s">
        <v>190</v>
      </c>
      <c r="X42" s="3" t="s">
        <v>82</v>
      </c>
      <c r="Y42" s="3" t="s">
        <v>83</v>
      </c>
      <c r="Z42" s="3">
        <v>1400000</v>
      </c>
      <c r="AA42" s="3">
        <v>715000</v>
      </c>
      <c r="AB42" s="3">
        <v>44000</v>
      </c>
      <c r="AC42" s="3">
        <v>6229000</v>
      </c>
      <c r="AD42" s="3" t="s">
        <v>84</v>
      </c>
      <c r="AE42" s="3" t="s">
        <v>85</v>
      </c>
    </row>
    <row r="43" spans="1:31" x14ac:dyDescent="0.25">
      <c r="B43" s="3" t="s">
        <v>125</v>
      </c>
      <c r="C43" s="3" t="s">
        <v>129</v>
      </c>
      <c r="D43" s="3" t="s">
        <v>130</v>
      </c>
      <c r="E43" s="3" t="s">
        <v>131</v>
      </c>
      <c r="G43" s="3" t="s">
        <v>175</v>
      </c>
      <c r="H43" s="3" t="s">
        <v>176</v>
      </c>
      <c r="I43" s="3" t="s">
        <v>177</v>
      </c>
      <c r="J43" s="3">
        <v>2500000</v>
      </c>
      <c r="K43" s="3">
        <v>3500000</v>
      </c>
      <c r="N43" s="3" t="s">
        <v>214</v>
      </c>
      <c r="O43" s="5" t="s">
        <v>207</v>
      </c>
      <c r="P43" s="3" t="s">
        <v>133</v>
      </c>
      <c r="Q43" s="3" t="s">
        <v>213</v>
      </c>
      <c r="R43" s="3" t="s">
        <v>215</v>
      </c>
      <c r="S43" s="3">
        <v>2800000</v>
      </c>
      <c r="T43" s="3" t="s">
        <v>60</v>
      </c>
      <c r="V43" s="3" t="s">
        <v>222</v>
      </c>
      <c r="W43" s="5" t="s">
        <v>207</v>
      </c>
      <c r="X43" s="3" t="s">
        <v>82</v>
      </c>
      <c r="Y43" s="3" t="s">
        <v>83</v>
      </c>
      <c r="Z43" s="3">
        <v>700000</v>
      </c>
      <c r="AA43" s="3">
        <v>364000</v>
      </c>
      <c r="AB43" s="3">
        <v>60000</v>
      </c>
      <c r="AC43" s="3">
        <v>3196000</v>
      </c>
      <c r="AD43" s="3" t="s">
        <v>84</v>
      </c>
      <c r="AE43" s="3" t="s">
        <v>85</v>
      </c>
    </row>
    <row r="44" spans="1:31" x14ac:dyDescent="0.25">
      <c r="B44" s="3" t="s">
        <v>99</v>
      </c>
      <c r="C44" s="3" t="s">
        <v>103</v>
      </c>
      <c r="D44" s="3" t="s">
        <v>104</v>
      </c>
      <c r="E44" s="3" t="s">
        <v>105</v>
      </c>
      <c r="G44" s="3" t="s">
        <v>153</v>
      </c>
      <c r="H44" s="3" t="s">
        <v>154</v>
      </c>
      <c r="I44" s="3" t="s">
        <v>128</v>
      </c>
      <c r="J44" s="3">
        <v>5000000</v>
      </c>
      <c r="K44" s="3">
        <v>8000000</v>
      </c>
      <c r="N44" s="3" t="s">
        <v>232</v>
      </c>
      <c r="O44" s="5" t="s">
        <v>225</v>
      </c>
      <c r="P44" s="3" t="s">
        <v>69</v>
      </c>
      <c r="Q44" s="3" t="s">
        <v>231</v>
      </c>
      <c r="R44" s="3" t="s">
        <v>233</v>
      </c>
      <c r="S44" s="3">
        <v>5800000</v>
      </c>
      <c r="T44" s="3" t="s">
        <v>60</v>
      </c>
      <c r="V44" s="3" t="s">
        <v>237</v>
      </c>
      <c r="W44" s="5" t="s">
        <v>225</v>
      </c>
      <c r="X44" s="3" t="s">
        <v>82</v>
      </c>
      <c r="Y44" s="3" t="s">
        <v>83</v>
      </c>
      <c r="Z44" s="3">
        <v>1500000</v>
      </c>
      <c r="AA44" s="3">
        <v>754000</v>
      </c>
      <c r="AB44" s="3">
        <v>69000</v>
      </c>
      <c r="AC44" s="3">
        <v>6615000</v>
      </c>
      <c r="AD44" s="3" t="s">
        <v>84</v>
      </c>
      <c r="AE44" s="3" t="s">
        <v>85</v>
      </c>
    </row>
    <row r="45" spans="1:31" x14ac:dyDescent="0.25">
      <c r="B45" s="3" t="s">
        <v>125</v>
      </c>
      <c r="C45" s="3" t="s">
        <v>129</v>
      </c>
      <c r="D45" s="3" t="s">
        <v>130</v>
      </c>
      <c r="E45" s="3" t="s">
        <v>131</v>
      </c>
      <c r="G45" s="3" t="s">
        <v>247</v>
      </c>
      <c r="H45" s="3" t="s">
        <v>248</v>
      </c>
      <c r="I45" s="3" t="s">
        <v>128</v>
      </c>
      <c r="J45" s="3">
        <v>5000000</v>
      </c>
      <c r="K45" s="3">
        <v>8500000</v>
      </c>
      <c r="N45" s="3" t="s">
        <v>249</v>
      </c>
      <c r="O45" s="5" t="s">
        <v>240</v>
      </c>
      <c r="P45" s="3" t="s">
        <v>133</v>
      </c>
      <c r="Q45" s="3" t="s">
        <v>246</v>
      </c>
      <c r="R45" s="3" t="s">
        <v>250</v>
      </c>
      <c r="S45" s="3">
        <v>5500000</v>
      </c>
      <c r="T45" s="3" t="s">
        <v>60</v>
      </c>
      <c r="V45" s="3" t="s">
        <v>254</v>
      </c>
      <c r="W45" s="5" t="s">
        <v>240</v>
      </c>
      <c r="X45" s="3" t="s">
        <v>82</v>
      </c>
      <c r="Y45" s="3" t="s">
        <v>83</v>
      </c>
      <c r="Z45" s="3">
        <v>1400000</v>
      </c>
      <c r="AA45" s="3">
        <v>715000</v>
      </c>
      <c r="AB45" s="3">
        <v>137500</v>
      </c>
      <c r="AC45" s="3">
        <v>6322500</v>
      </c>
      <c r="AD45" s="3" t="s">
        <v>84</v>
      </c>
      <c r="AE45" s="3" t="s">
        <v>85</v>
      </c>
    </row>
    <row r="46" spans="1:31" x14ac:dyDescent="0.25">
      <c r="B46" s="3" t="s">
        <v>152</v>
      </c>
      <c r="C46" s="3" t="s">
        <v>155</v>
      </c>
      <c r="D46" s="3" t="s">
        <v>156</v>
      </c>
      <c r="E46" s="3" t="s">
        <v>157</v>
      </c>
      <c r="G46" s="3" t="s">
        <v>100</v>
      </c>
      <c r="H46" s="3" t="s">
        <v>101</v>
      </c>
      <c r="I46" s="3" t="s">
        <v>102</v>
      </c>
      <c r="J46" s="3">
        <v>3500000</v>
      </c>
      <c r="K46" s="3">
        <v>5500000</v>
      </c>
      <c r="N46" s="3" t="s">
        <v>264</v>
      </c>
      <c r="O46" s="5" t="s">
        <v>257</v>
      </c>
      <c r="P46" s="3" t="s">
        <v>69</v>
      </c>
      <c r="Q46" s="3" t="s">
        <v>263</v>
      </c>
      <c r="R46" s="3" t="s">
        <v>265</v>
      </c>
      <c r="S46" s="3">
        <v>4800000</v>
      </c>
      <c r="T46" s="3" t="s">
        <v>60</v>
      </c>
      <c r="V46" s="3" t="s">
        <v>271</v>
      </c>
      <c r="W46" s="5" t="s">
        <v>257</v>
      </c>
      <c r="X46" s="3" t="s">
        <v>82</v>
      </c>
      <c r="Y46" s="3" t="s">
        <v>83</v>
      </c>
      <c r="Z46" s="3">
        <v>1200000</v>
      </c>
      <c r="AA46" s="3">
        <v>624000</v>
      </c>
      <c r="AB46" s="3">
        <v>0</v>
      </c>
      <c r="AC46" s="3">
        <v>5376000</v>
      </c>
      <c r="AD46" s="3" t="s">
        <v>84</v>
      </c>
      <c r="AE46" s="3" t="s">
        <v>85</v>
      </c>
    </row>
    <row r="47" spans="1:31" x14ac:dyDescent="0.25">
      <c r="B47" s="3" t="s">
        <v>174</v>
      </c>
      <c r="C47" s="3" t="s">
        <v>178</v>
      </c>
      <c r="D47" s="3" t="s">
        <v>179</v>
      </c>
      <c r="E47" s="3" t="s">
        <v>180</v>
      </c>
      <c r="G47" s="3" t="s">
        <v>175</v>
      </c>
      <c r="H47" s="3" t="s">
        <v>176</v>
      </c>
      <c r="I47" s="3" t="s">
        <v>177</v>
      </c>
      <c r="J47" s="3">
        <v>2500000</v>
      </c>
      <c r="K47" s="3">
        <v>3500000</v>
      </c>
      <c r="N47" s="3" t="s">
        <v>281</v>
      </c>
      <c r="O47" s="5" t="s">
        <v>274</v>
      </c>
      <c r="P47" s="3" t="s">
        <v>133</v>
      </c>
      <c r="Q47" s="3" t="s">
        <v>280</v>
      </c>
      <c r="R47" s="3" t="s">
        <v>182</v>
      </c>
      <c r="S47" s="3">
        <v>2800000</v>
      </c>
      <c r="T47" s="3" t="s">
        <v>60</v>
      </c>
      <c r="V47" s="3" t="s">
        <v>285</v>
      </c>
      <c r="W47" s="5" t="s">
        <v>274</v>
      </c>
      <c r="X47" s="3" t="s">
        <v>82</v>
      </c>
      <c r="Y47" s="3" t="s">
        <v>83</v>
      </c>
      <c r="Z47" s="3">
        <v>700000</v>
      </c>
      <c r="AA47" s="3">
        <v>364000</v>
      </c>
      <c r="AB47" s="3">
        <v>0</v>
      </c>
      <c r="AC47" s="3">
        <v>3136000</v>
      </c>
      <c r="AD47" s="3" t="s">
        <v>84</v>
      </c>
      <c r="AE47" s="3" t="s">
        <v>85</v>
      </c>
    </row>
    <row r="48" spans="1:31" x14ac:dyDescent="0.25">
      <c r="B48" s="3" t="s">
        <v>61</v>
      </c>
      <c r="C48" s="3" t="s">
        <v>65</v>
      </c>
      <c r="D48" s="3" t="s">
        <v>66</v>
      </c>
      <c r="E48" s="3" t="s">
        <v>67</v>
      </c>
      <c r="G48" s="3" t="s">
        <v>62</v>
      </c>
      <c r="H48" s="3" t="s">
        <v>63</v>
      </c>
      <c r="I48" s="3" t="s">
        <v>64</v>
      </c>
      <c r="J48" s="3">
        <v>8000000</v>
      </c>
      <c r="K48" s="3">
        <v>15000000</v>
      </c>
      <c r="N48" s="3" t="s">
        <v>295</v>
      </c>
      <c r="O48" s="5" t="s">
        <v>288</v>
      </c>
      <c r="P48" s="3" t="s">
        <v>69</v>
      </c>
      <c r="Q48" s="3" t="s">
        <v>294</v>
      </c>
      <c r="R48" s="3" t="s">
        <v>296</v>
      </c>
      <c r="S48" s="3">
        <v>9500000</v>
      </c>
      <c r="T48" s="3" t="s">
        <v>60</v>
      </c>
      <c r="V48" s="3" t="s">
        <v>300</v>
      </c>
      <c r="W48" s="5" t="s">
        <v>288</v>
      </c>
      <c r="X48" s="3" t="s">
        <v>82</v>
      </c>
      <c r="Y48" s="3" t="s">
        <v>83</v>
      </c>
      <c r="Z48" s="3">
        <v>2400000</v>
      </c>
      <c r="AA48" s="3">
        <v>1235000</v>
      </c>
      <c r="AB48" s="3">
        <v>60000</v>
      </c>
      <c r="AC48" s="3">
        <v>10725000</v>
      </c>
      <c r="AD48" s="3" t="s">
        <v>84</v>
      </c>
      <c r="AE48" s="3" t="s">
        <v>85</v>
      </c>
    </row>
    <row r="49" spans="2:31" x14ac:dyDescent="0.25">
      <c r="B49" s="3" t="s">
        <v>125</v>
      </c>
      <c r="C49" s="3" t="s">
        <v>129</v>
      </c>
      <c r="D49" s="3" t="s">
        <v>130</v>
      </c>
      <c r="E49" s="3" t="s">
        <v>131</v>
      </c>
      <c r="G49" s="3" t="s">
        <v>175</v>
      </c>
      <c r="H49" s="3" t="s">
        <v>176</v>
      </c>
      <c r="I49" s="3" t="s">
        <v>177</v>
      </c>
      <c r="J49" s="3">
        <v>2500000</v>
      </c>
      <c r="K49" s="3">
        <v>3500000</v>
      </c>
      <c r="N49" s="3" t="s">
        <v>310</v>
      </c>
      <c r="O49" s="5" t="s">
        <v>303</v>
      </c>
      <c r="P49" s="3" t="s">
        <v>311</v>
      </c>
      <c r="Q49" s="3" t="s">
        <v>309</v>
      </c>
      <c r="R49" s="3" t="s">
        <v>296</v>
      </c>
      <c r="S49" s="3">
        <v>2500000</v>
      </c>
      <c r="T49" s="3" t="s">
        <v>60</v>
      </c>
      <c r="V49" s="3" t="s">
        <v>315</v>
      </c>
      <c r="W49" s="5" t="s">
        <v>303</v>
      </c>
      <c r="X49" s="3" t="s">
        <v>82</v>
      </c>
      <c r="Y49" s="3" t="s">
        <v>83</v>
      </c>
      <c r="Z49" s="3">
        <v>625000</v>
      </c>
      <c r="AA49" s="3">
        <v>325000</v>
      </c>
      <c r="AB49" s="3">
        <v>0</v>
      </c>
      <c r="AC49" s="3">
        <v>2800000</v>
      </c>
      <c r="AD49" s="3" t="s">
        <v>84</v>
      </c>
      <c r="AE49" s="3" t="s">
        <v>85</v>
      </c>
    </row>
    <row r="50" spans="2:31" x14ac:dyDescent="0.25">
      <c r="B50" s="3" t="s">
        <v>99</v>
      </c>
      <c r="C50" s="3" t="s">
        <v>103</v>
      </c>
      <c r="D50" s="3" t="s">
        <v>104</v>
      </c>
      <c r="E50" s="3" t="s">
        <v>105</v>
      </c>
      <c r="G50" s="3" t="s">
        <v>100</v>
      </c>
      <c r="H50" s="3" t="s">
        <v>101</v>
      </c>
      <c r="I50" s="3" t="s">
        <v>102</v>
      </c>
      <c r="J50" s="3">
        <v>3500000</v>
      </c>
      <c r="K50" s="3">
        <v>5500000</v>
      </c>
      <c r="N50" s="3" t="s">
        <v>325</v>
      </c>
      <c r="O50" s="5" t="s">
        <v>318</v>
      </c>
      <c r="P50" s="3" t="s">
        <v>69</v>
      </c>
      <c r="Q50" s="3" t="s">
        <v>324</v>
      </c>
      <c r="R50" s="3" t="s">
        <v>326</v>
      </c>
      <c r="S50" s="3">
        <v>4600000</v>
      </c>
      <c r="T50" s="3" t="s">
        <v>60</v>
      </c>
      <c r="V50" s="3" t="s">
        <v>330</v>
      </c>
      <c r="W50" s="5" t="s">
        <v>318</v>
      </c>
      <c r="X50" s="3" t="s">
        <v>82</v>
      </c>
      <c r="Y50" s="3" t="s">
        <v>83</v>
      </c>
      <c r="Z50" s="3">
        <v>1150000</v>
      </c>
      <c r="AA50" s="3">
        <v>598000</v>
      </c>
      <c r="AB50" s="3">
        <v>0</v>
      </c>
      <c r="AC50" s="3">
        <v>5152000</v>
      </c>
      <c r="AD50" s="3" t="s">
        <v>84</v>
      </c>
      <c r="AE50" s="3" t="s">
        <v>85</v>
      </c>
    </row>
    <row r="51" spans="2:31" x14ac:dyDescent="0.25">
      <c r="B51" s="3" t="s">
        <v>152</v>
      </c>
      <c r="C51" s="3" t="s">
        <v>155</v>
      </c>
      <c r="D51" s="3" t="s">
        <v>156</v>
      </c>
      <c r="E51" s="3" t="s">
        <v>157</v>
      </c>
      <c r="G51" s="3" t="s">
        <v>175</v>
      </c>
      <c r="H51" s="3" t="s">
        <v>176</v>
      </c>
      <c r="I51" s="3" t="s">
        <v>177</v>
      </c>
      <c r="J51" s="3">
        <v>2500000</v>
      </c>
      <c r="K51" s="3">
        <v>3500000</v>
      </c>
      <c r="N51" s="3" t="s">
        <v>340</v>
      </c>
      <c r="O51" s="5" t="s">
        <v>333</v>
      </c>
      <c r="P51" s="3" t="s">
        <v>133</v>
      </c>
      <c r="Q51" s="3" t="s">
        <v>339</v>
      </c>
      <c r="R51" s="3" t="s">
        <v>341</v>
      </c>
      <c r="S51" s="3">
        <v>2800000</v>
      </c>
      <c r="T51" s="3" t="s">
        <v>60</v>
      </c>
      <c r="V51" s="3" t="s">
        <v>345</v>
      </c>
      <c r="W51" s="5" t="s">
        <v>333</v>
      </c>
      <c r="X51" s="3" t="s">
        <v>82</v>
      </c>
      <c r="Y51" s="3" t="s">
        <v>83</v>
      </c>
      <c r="Z51" s="3">
        <v>700000</v>
      </c>
      <c r="AA51" s="3">
        <v>364000</v>
      </c>
      <c r="AB51" s="3">
        <v>0</v>
      </c>
      <c r="AC51" s="3">
        <v>3136000</v>
      </c>
      <c r="AD51" s="3" t="s">
        <v>84</v>
      </c>
      <c r="AE51" s="3" t="s">
        <v>85</v>
      </c>
    </row>
    <row r="52" spans="2:31" x14ac:dyDescent="0.25">
      <c r="B52" s="3" t="s">
        <v>61</v>
      </c>
      <c r="C52" s="3" t="s">
        <v>65</v>
      </c>
      <c r="D52" s="3" t="s">
        <v>66</v>
      </c>
      <c r="E52" s="3" t="s">
        <v>67</v>
      </c>
      <c r="G52" s="3" t="s">
        <v>355</v>
      </c>
      <c r="H52" s="3" t="s">
        <v>356</v>
      </c>
      <c r="I52" s="3" t="s">
        <v>357</v>
      </c>
      <c r="J52" s="3">
        <v>15000000</v>
      </c>
      <c r="K52" s="3">
        <v>25000000</v>
      </c>
      <c r="N52" s="3" t="s">
        <v>358</v>
      </c>
      <c r="O52" s="5" t="s">
        <v>348</v>
      </c>
      <c r="P52" s="3" t="s">
        <v>69</v>
      </c>
      <c r="Q52" s="3" t="s">
        <v>354</v>
      </c>
      <c r="R52" s="3" t="s">
        <v>359</v>
      </c>
      <c r="S52" s="3">
        <v>20000000</v>
      </c>
      <c r="T52" s="3" t="s">
        <v>60</v>
      </c>
      <c r="V52" s="3" t="s">
        <v>363</v>
      </c>
      <c r="W52" s="5" t="s">
        <v>348</v>
      </c>
      <c r="X52" s="3" t="s">
        <v>82</v>
      </c>
      <c r="Y52" s="3" t="s">
        <v>83</v>
      </c>
      <c r="Z52" s="3">
        <v>5000000</v>
      </c>
      <c r="AA52" s="3">
        <v>2600000</v>
      </c>
      <c r="AB52" s="3">
        <v>0</v>
      </c>
      <c r="AC52" s="3">
        <v>22400000</v>
      </c>
      <c r="AD52" s="3" t="s">
        <v>84</v>
      </c>
      <c r="AE52" s="3" t="s">
        <v>85</v>
      </c>
    </row>
    <row r="53" spans="2:31" x14ac:dyDescent="0.25">
      <c r="B53" s="3" t="s">
        <v>174</v>
      </c>
      <c r="C53" s="3" t="s">
        <v>178</v>
      </c>
      <c r="D53" s="3" t="s">
        <v>179</v>
      </c>
      <c r="E53" s="3" t="s">
        <v>180</v>
      </c>
      <c r="G53" s="3" t="s">
        <v>175</v>
      </c>
      <c r="H53" s="3" t="s">
        <v>176</v>
      </c>
      <c r="I53" s="3" t="s">
        <v>177</v>
      </c>
      <c r="J53" s="3">
        <v>2500000</v>
      </c>
      <c r="K53" s="3">
        <v>3500000</v>
      </c>
      <c r="N53" s="3" t="s">
        <v>373</v>
      </c>
      <c r="O53" s="5" t="s">
        <v>366</v>
      </c>
      <c r="P53" s="3" t="s">
        <v>311</v>
      </c>
      <c r="Q53" s="3" t="s">
        <v>372</v>
      </c>
      <c r="R53" s="3" t="s">
        <v>374</v>
      </c>
      <c r="S53" s="3">
        <v>2500000</v>
      </c>
      <c r="T53" s="3" t="s">
        <v>60</v>
      </c>
      <c r="V53" s="3" t="s">
        <v>378</v>
      </c>
      <c r="W53" s="5" t="s">
        <v>366</v>
      </c>
      <c r="X53" s="3" t="s">
        <v>82</v>
      </c>
      <c r="Y53" s="3" t="s">
        <v>83</v>
      </c>
      <c r="Z53" s="3">
        <v>625000</v>
      </c>
      <c r="AA53" s="3">
        <v>325000</v>
      </c>
      <c r="AB53" s="3">
        <v>0</v>
      </c>
      <c r="AC53" s="3">
        <v>2800000</v>
      </c>
      <c r="AD53" s="3" t="s">
        <v>84</v>
      </c>
      <c r="AE53" s="3" t="s">
        <v>85</v>
      </c>
    </row>
    <row r="54" spans="2:31" x14ac:dyDescent="0.25">
      <c r="B54" s="3" t="s">
        <v>99</v>
      </c>
      <c r="C54" s="3" t="s">
        <v>103</v>
      </c>
      <c r="D54" s="3" t="s">
        <v>104</v>
      </c>
      <c r="E54" s="3" t="s">
        <v>105</v>
      </c>
      <c r="G54" s="3" t="s">
        <v>153</v>
      </c>
      <c r="H54" s="3" t="s">
        <v>154</v>
      </c>
      <c r="I54" s="3" t="s">
        <v>128</v>
      </c>
      <c r="J54" s="3">
        <v>5000000</v>
      </c>
      <c r="K54" s="3">
        <v>8000000</v>
      </c>
      <c r="N54" s="3" t="s">
        <v>388</v>
      </c>
      <c r="O54" s="5" t="s">
        <v>381</v>
      </c>
      <c r="P54" s="3" t="s">
        <v>69</v>
      </c>
      <c r="Q54" s="3" t="s">
        <v>387</v>
      </c>
      <c r="R54" s="3" t="s">
        <v>389</v>
      </c>
      <c r="S54" s="3">
        <v>5600000</v>
      </c>
      <c r="T54" s="3" t="s">
        <v>60</v>
      </c>
      <c r="V54" s="3" t="s">
        <v>394</v>
      </c>
      <c r="W54" s="5" t="s">
        <v>381</v>
      </c>
      <c r="X54" s="3" t="s">
        <v>82</v>
      </c>
      <c r="Y54" s="3" t="s">
        <v>83</v>
      </c>
      <c r="Z54" s="3">
        <v>1400000</v>
      </c>
      <c r="AA54" s="3">
        <v>728000</v>
      </c>
      <c r="AB54" s="3">
        <v>66000</v>
      </c>
      <c r="AC54" s="3">
        <v>6338000</v>
      </c>
      <c r="AD54" s="3" t="s">
        <v>84</v>
      </c>
      <c r="AE54" s="3" t="s">
        <v>85</v>
      </c>
    </row>
    <row r="55" spans="2:31" x14ac:dyDescent="0.25">
      <c r="B55" s="3" t="s">
        <v>125</v>
      </c>
      <c r="C55" s="3" t="s">
        <v>129</v>
      </c>
      <c r="D55" s="3" t="s">
        <v>130</v>
      </c>
      <c r="E55" s="3" t="s">
        <v>131</v>
      </c>
      <c r="G55" s="3" t="s">
        <v>247</v>
      </c>
      <c r="H55" s="3" t="s">
        <v>248</v>
      </c>
      <c r="I55" s="3" t="s">
        <v>128</v>
      </c>
      <c r="J55" s="3">
        <v>5000000</v>
      </c>
      <c r="K55" s="3">
        <v>8500000</v>
      </c>
      <c r="N55" s="3" t="s">
        <v>404</v>
      </c>
      <c r="O55" s="5" t="s">
        <v>397</v>
      </c>
      <c r="P55" s="3" t="s">
        <v>133</v>
      </c>
      <c r="Q55" s="3" t="s">
        <v>403</v>
      </c>
      <c r="R55" s="3" t="s">
        <v>405</v>
      </c>
      <c r="S55" s="3">
        <v>5700000</v>
      </c>
      <c r="T55" s="3" t="s">
        <v>60</v>
      </c>
      <c r="V55" s="3" t="s">
        <v>409</v>
      </c>
      <c r="W55" s="5" t="s">
        <v>397</v>
      </c>
      <c r="X55" s="3" t="s">
        <v>82</v>
      </c>
      <c r="Y55" s="3" t="s">
        <v>83</v>
      </c>
      <c r="Z55" s="3">
        <v>1425000</v>
      </c>
      <c r="AA55" s="3">
        <v>741000</v>
      </c>
      <c r="AB55" s="3">
        <v>110000</v>
      </c>
      <c r="AC55" s="3">
        <v>6494000</v>
      </c>
      <c r="AD55" s="3" t="s">
        <v>84</v>
      </c>
      <c r="AE55" s="3" t="s">
        <v>85</v>
      </c>
    </row>
    <row r="56" spans="2:31" x14ac:dyDescent="0.25">
      <c r="B56" s="3" t="s">
        <v>152</v>
      </c>
      <c r="C56" s="3" t="s">
        <v>155</v>
      </c>
      <c r="D56" s="3" t="s">
        <v>156</v>
      </c>
      <c r="E56" s="3" t="s">
        <v>157</v>
      </c>
      <c r="G56" s="3" t="s">
        <v>153</v>
      </c>
      <c r="H56" s="3" t="s">
        <v>154</v>
      </c>
      <c r="I56" s="3" t="s">
        <v>128</v>
      </c>
      <c r="J56" s="3">
        <v>5000000</v>
      </c>
      <c r="K56" s="3">
        <v>8000000</v>
      </c>
      <c r="N56" s="3" t="s">
        <v>419</v>
      </c>
      <c r="O56" s="5" t="s">
        <v>412</v>
      </c>
      <c r="P56" s="3" t="s">
        <v>69</v>
      </c>
      <c r="Q56" s="3" t="s">
        <v>418</v>
      </c>
      <c r="R56" s="3" t="s">
        <v>420</v>
      </c>
      <c r="S56" s="3">
        <v>6200000</v>
      </c>
      <c r="T56" s="3" t="s">
        <v>60</v>
      </c>
      <c r="V56" s="3" t="s">
        <v>424</v>
      </c>
      <c r="W56" s="5" t="s">
        <v>412</v>
      </c>
      <c r="X56" s="3" t="s">
        <v>82</v>
      </c>
      <c r="Y56" s="3" t="s">
        <v>83</v>
      </c>
      <c r="Z56" s="3">
        <v>1550000</v>
      </c>
      <c r="AA56" s="3">
        <v>806000</v>
      </c>
      <c r="AB56" s="3">
        <v>46000</v>
      </c>
      <c r="AC56" s="3">
        <v>6990000</v>
      </c>
      <c r="AD56" s="3" t="s">
        <v>84</v>
      </c>
      <c r="AE56" s="3" t="s">
        <v>85</v>
      </c>
    </row>
    <row r="57" spans="2:31" x14ac:dyDescent="0.25">
      <c r="B57" s="3" t="s">
        <v>174</v>
      </c>
      <c r="C57" s="3" t="s">
        <v>178</v>
      </c>
      <c r="D57" s="3" t="s">
        <v>179</v>
      </c>
      <c r="E57" s="3" t="s">
        <v>180</v>
      </c>
      <c r="G57" s="3" t="s">
        <v>100</v>
      </c>
      <c r="H57" s="3" t="s">
        <v>101</v>
      </c>
      <c r="I57" s="3" t="s">
        <v>102</v>
      </c>
      <c r="J57" s="3">
        <v>3500000</v>
      </c>
      <c r="K57" s="3">
        <v>5500000</v>
      </c>
      <c r="N57" s="3" t="s">
        <v>434</v>
      </c>
      <c r="O57" s="5" t="s">
        <v>427</v>
      </c>
      <c r="P57" s="3" t="s">
        <v>69</v>
      </c>
      <c r="Q57" s="3" t="s">
        <v>433</v>
      </c>
      <c r="R57" s="3" t="s">
        <v>435</v>
      </c>
      <c r="S57" s="3">
        <v>4700000</v>
      </c>
      <c r="T57" s="3" t="s">
        <v>60</v>
      </c>
      <c r="V57" s="3" t="s">
        <v>439</v>
      </c>
      <c r="W57" s="5" t="s">
        <v>427</v>
      </c>
      <c r="X57" s="3" t="s">
        <v>82</v>
      </c>
      <c r="Y57" s="3" t="s">
        <v>83</v>
      </c>
      <c r="Z57" s="3">
        <v>1175000</v>
      </c>
      <c r="AA57" s="3">
        <v>611000</v>
      </c>
      <c r="AB57" s="3">
        <v>0</v>
      </c>
      <c r="AC57" s="3">
        <v>5264000</v>
      </c>
      <c r="AD57" s="3" t="s">
        <v>84</v>
      </c>
      <c r="AE57" s="3" t="s">
        <v>85</v>
      </c>
    </row>
    <row r="58" spans="2:31" x14ac:dyDescent="0.25">
      <c r="B58" s="3" t="s">
        <v>61</v>
      </c>
      <c r="C58" s="3" t="s">
        <v>65</v>
      </c>
      <c r="D58" s="3" t="s">
        <v>66</v>
      </c>
      <c r="E58" s="3" t="s">
        <v>67</v>
      </c>
      <c r="G58" s="3" t="s">
        <v>175</v>
      </c>
      <c r="H58" s="3" t="s">
        <v>176</v>
      </c>
      <c r="I58" s="3" t="s">
        <v>177</v>
      </c>
      <c r="J58" s="3">
        <v>2500000</v>
      </c>
      <c r="K58" s="3">
        <v>3500000</v>
      </c>
      <c r="N58" s="3" t="s">
        <v>449</v>
      </c>
      <c r="O58" s="5" t="s">
        <v>442</v>
      </c>
      <c r="P58" s="3" t="s">
        <v>311</v>
      </c>
      <c r="Q58" s="3" t="s">
        <v>448</v>
      </c>
      <c r="R58" s="3" t="s">
        <v>450</v>
      </c>
      <c r="S58" s="3">
        <v>2500000</v>
      </c>
      <c r="T58" s="3" t="s">
        <v>60</v>
      </c>
      <c r="V58" s="3" t="s">
        <v>454</v>
      </c>
      <c r="W58" s="5" t="s">
        <v>442</v>
      </c>
      <c r="X58" s="3" t="s">
        <v>82</v>
      </c>
      <c r="Y58" s="3" t="s">
        <v>83</v>
      </c>
      <c r="Z58" s="3">
        <v>625000</v>
      </c>
      <c r="AA58" s="3">
        <v>325000</v>
      </c>
      <c r="AB58" s="3">
        <v>0</v>
      </c>
      <c r="AC58" s="3">
        <v>2800000</v>
      </c>
      <c r="AD58" s="3" t="s">
        <v>84</v>
      </c>
      <c r="AE58" s="3" t="s">
        <v>85</v>
      </c>
    </row>
    <row r="59" spans="2:31" x14ac:dyDescent="0.25">
      <c r="B59" s="3" t="s">
        <v>99</v>
      </c>
      <c r="C59" s="3" t="s">
        <v>103</v>
      </c>
      <c r="D59" s="3" t="s">
        <v>104</v>
      </c>
      <c r="E59" s="3" t="s">
        <v>105</v>
      </c>
      <c r="G59" s="3" t="s">
        <v>62</v>
      </c>
      <c r="H59" s="3" t="s">
        <v>63</v>
      </c>
      <c r="I59" s="3" t="s">
        <v>64</v>
      </c>
      <c r="J59" s="3">
        <v>8000000</v>
      </c>
      <c r="K59" s="3">
        <v>15000000</v>
      </c>
      <c r="N59" s="3" t="s">
        <v>464</v>
      </c>
      <c r="O59" s="5" t="s">
        <v>457</v>
      </c>
      <c r="P59" s="3" t="s">
        <v>69</v>
      </c>
      <c r="Q59" s="3" t="s">
        <v>463</v>
      </c>
      <c r="R59" s="3" t="s">
        <v>465</v>
      </c>
      <c r="S59" s="3">
        <v>9000000</v>
      </c>
      <c r="T59" s="3" t="s">
        <v>60</v>
      </c>
      <c r="V59" s="3" t="s">
        <v>469</v>
      </c>
      <c r="W59" s="5" t="s">
        <v>457</v>
      </c>
      <c r="X59" s="3" t="s">
        <v>82</v>
      </c>
      <c r="Y59" s="3" t="s">
        <v>83</v>
      </c>
      <c r="Z59" s="3">
        <v>2250000</v>
      </c>
      <c r="AA59" s="3">
        <v>1170000</v>
      </c>
      <c r="AB59" s="3">
        <v>84000</v>
      </c>
      <c r="AC59" s="3">
        <v>10164000</v>
      </c>
      <c r="AD59" s="3" t="s">
        <v>84</v>
      </c>
      <c r="AE59" s="3" t="s">
        <v>85</v>
      </c>
    </row>
    <row r="60" spans="2:31" x14ac:dyDescent="0.25">
      <c r="B60" s="3" t="s">
        <v>125</v>
      </c>
      <c r="C60" s="3" t="s">
        <v>129</v>
      </c>
      <c r="D60" s="3" t="s">
        <v>130</v>
      </c>
      <c r="E60" s="3" t="s">
        <v>131</v>
      </c>
      <c r="G60" s="3" t="s">
        <v>175</v>
      </c>
      <c r="H60" s="3" t="s">
        <v>176</v>
      </c>
      <c r="I60" s="3" t="s">
        <v>177</v>
      </c>
      <c r="J60" s="3">
        <v>2500000</v>
      </c>
      <c r="K60" s="3">
        <v>3500000</v>
      </c>
      <c r="N60" s="3" t="s">
        <v>479</v>
      </c>
      <c r="O60" s="5" t="s">
        <v>472</v>
      </c>
      <c r="P60" s="3" t="s">
        <v>133</v>
      </c>
      <c r="Q60" s="3" t="s">
        <v>478</v>
      </c>
      <c r="R60" s="3" t="s">
        <v>480</v>
      </c>
      <c r="S60" s="3">
        <v>2900000</v>
      </c>
      <c r="T60" s="3" t="s">
        <v>60</v>
      </c>
      <c r="V60" s="3" t="s">
        <v>484</v>
      </c>
      <c r="W60" s="5" t="s">
        <v>472</v>
      </c>
      <c r="X60" s="3" t="s">
        <v>82</v>
      </c>
      <c r="Y60" s="3" t="s">
        <v>83</v>
      </c>
      <c r="Z60" s="3">
        <v>725000</v>
      </c>
      <c r="AA60" s="3">
        <v>377000</v>
      </c>
      <c r="AB60" s="3">
        <v>0</v>
      </c>
      <c r="AC60" s="3">
        <v>3248000</v>
      </c>
      <c r="AD60" s="3" t="s">
        <v>84</v>
      </c>
      <c r="AE60" s="3" t="s">
        <v>85</v>
      </c>
    </row>
    <row r="61" spans="2:31" x14ac:dyDescent="0.25">
      <c r="B61" s="3" t="s">
        <v>152</v>
      </c>
      <c r="C61" s="3" t="s">
        <v>155</v>
      </c>
      <c r="D61" s="3" t="s">
        <v>156</v>
      </c>
      <c r="E61" s="3" t="s">
        <v>157</v>
      </c>
      <c r="G61" s="3" t="s">
        <v>62</v>
      </c>
      <c r="H61" s="3" t="s">
        <v>63</v>
      </c>
      <c r="I61" s="3" t="s">
        <v>64</v>
      </c>
      <c r="J61" s="3">
        <v>8000000</v>
      </c>
      <c r="K61" s="3">
        <v>15000000</v>
      </c>
      <c r="N61" s="3" t="s">
        <v>494</v>
      </c>
      <c r="O61" s="5" t="s">
        <v>487</v>
      </c>
      <c r="P61" s="3" t="s">
        <v>69</v>
      </c>
      <c r="Q61" s="3" t="s">
        <v>493</v>
      </c>
      <c r="R61" s="3" t="s">
        <v>495</v>
      </c>
      <c r="S61" s="3">
        <v>9200000</v>
      </c>
      <c r="T61" s="3" t="s">
        <v>60</v>
      </c>
      <c r="V61" s="3" t="s">
        <v>499</v>
      </c>
      <c r="W61" s="5" t="s">
        <v>487</v>
      </c>
      <c r="X61" s="3" t="s">
        <v>82</v>
      </c>
      <c r="Y61" s="3" t="s">
        <v>83</v>
      </c>
      <c r="Z61" s="3">
        <v>2300000</v>
      </c>
      <c r="AA61" s="3">
        <v>1196000</v>
      </c>
      <c r="AB61" s="3">
        <v>58000</v>
      </c>
      <c r="AC61" s="3">
        <v>10362000</v>
      </c>
      <c r="AD61" s="3" t="s">
        <v>84</v>
      </c>
      <c r="AE61" s="3" t="s">
        <v>85</v>
      </c>
    </row>
    <row r="62" spans="2:31" x14ac:dyDescent="0.25">
      <c r="B62" s="3" t="s">
        <v>174</v>
      </c>
      <c r="C62" s="3" t="s">
        <v>178</v>
      </c>
      <c r="D62" s="3" t="s">
        <v>179</v>
      </c>
      <c r="E62" s="3" t="s">
        <v>180</v>
      </c>
      <c r="G62" s="3" t="s">
        <v>175</v>
      </c>
      <c r="H62" s="3" t="s">
        <v>176</v>
      </c>
      <c r="I62" s="3" t="s">
        <v>177</v>
      </c>
      <c r="J62" s="3">
        <v>2500000</v>
      </c>
      <c r="K62" s="3">
        <v>3500000</v>
      </c>
      <c r="N62" s="3" t="s">
        <v>509</v>
      </c>
      <c r="O62" s="5" t="s">
        <v>502</v>
      </c>
      <c r="P62" s="3" t="s">
        <v>133</v>
      </c>
      <c r="Q62" s="3" t="s">
        <v>508</v>
      </c>
      <c r="R62" s="3" t="s">
        <v>510</v>
      </c>
      <c r="S62" s="3">
        <v>2800000</v>
      </c>
      <c r="T62" s="3" t="s">
        <v>60</v>
      </c>
      <c r="V62" s="3" t="s">
        <v>514</v>
      </c>
      <c r="W62" s="5" t="s">
        <v>502</v>
      </c>
      <c r="X62" s="3" t="s">
        <v>82</v>
      </c>
      <c r="Y62" s="3" t="s">
        <v>83</v>
      </c>
      <c r="Z62" s="3">
        <v>700000</v>
      </c>
      <c r="AA62" s="3">
        <v>364000</v>
      </c>
      <c r="AB62" s="3">
        <v>0</v>
      </c>
      <c r="AC62" s="3">
        <v>3136000</v>
      </c>
      <c r="AD62" s="3" t="s">
        <v>84</v>
      </c>
      <c r="AE62" s="3" t="s">
        <v>85</v>
      </c>
    </row>
    <row r="63" spans="2:31" x14ac:dyDescent="0.25">
      <c r="B63" s="3" t="s">
        <v>61</v>
      </c>
      <c r="C63" s="3" t="s">
        <v>65</v>
      </c>
      <c r="D63" s="3" t="s">
        <v>66</v>
      </c>
      <c r="E63" s="3" t="s">
        <v>67</v>
      </c>
      <c r="G63" s="3" t="s">
        <v>153</v>
      </c>
      <c r="H63" s="3" t="s">
        <v>154</v>
      </c>
      <c r="I63" s="3" t="s">
        <v>128</v>
      </c>
      <c r="J63" s="3">
        <v>5000000</v>
      </c>
      <c r="K63" s="3">
        <v>8000000</v>
      </c>
      <c r="N63" s="3" t="s">
        <v>524</v>
      </c>
      <c r="O63" s="5" t="s">
        <v>517</v>
      </c>
      <c r="P63" s="3" t="s">
        <v>69</v>
      </c>
      <c r="Q63" s="3" t="s">
        <v>523</v>
      </c>
      <c r="R63" s="3" t="s">
        <v>525</v>
      </c>
      <c r="S63" s="3">
        <v>5400000</v>
      </c>
      <c r="T63" s="3" t="s">
        <v>60</v>
      </c>
      <c r="V63" s="3" t="s">
        <v>529</v>
      </c>
      <c r="W63" s="5" t="s">
        <v>517</v>
      </c>
      <c r="X63" s="3" t="s">
        <v>82</v>
      </c>
      <c r="Y63" s="3" t="s">
        <v>83</v>
      </c>
      <c r="Z63" s="3">
        <v>1350000</v>
      </c>
      <c r="AA63" s="3">
        <v>702000</v>
      </c>
      <c r="AB63" s="3">
        <v>0</v>
      </c>
      <c r="AC63" s="3">
        <v>6048000</v>
      </c>
      <c r="AD63" s="3" t="s">
        <v>84</v>
      </c>
      <c r="AE63" s="3" t="s">
        <v>85</v>
      </c>
    </row>
    <row r="64" spans="2:31" x14ac:dyDescent="0.25">
      <c r="B64" s="3" t="s">
        <v>99</v>
      </c>
      <c r="C64" s="3" t="s">
        <v>103</v>
      </c>
      <c r="D64" s="3" t="s">
        <v>104</v>
      </c>
      <c r="E64" s="3" t="s">
        <v>105</v>
      </c>
      <c r="G64" s="3" t="s">
        <v>100</v>
      </c>
      <c r="H64" s="3" t="s">
        <v>101</v>
      </c>
      <c r="I64" s="3" t="s">
        <v>102</v>
      </c>
      <c r="J64" s="3">
        <v>3500000</v>
      </c>
      <c r="K64" s="3">
        <v>5500000</v>
      </c>
      <c r="N64" s="3" t="s">
        <v>539</v>
      </c>
      <c r="O64" s="5" t="s">
        <v>532</v>
      </c>
      <c r="P64" s="3" t="s">
        <v>69</v>
      </c>
      <c r="Q64" s="3" t="s">
        <v>538</v>
      </c>
      <c r="R64" s="3" t="s">
        <v>540</v>
      </c>
      <c r="S64" s="3">
        <v>4700000</v>
      </c>
      <c r="T64" s="3" t="s">
        <v>60</v>
      </c>
      <c r="V64" s="3" t="s">
        <v>544</v>
      </c>
      <c r="W64" s="5" t="s">
        <v>532</v>
      </c>
      <c r="X64" s="3" t="s">
        <v>82</v>
      </c>
      <c r="Y64" s="3" t="s">
        <v>83</v>
      </c>
      <c r="Z64" s="3">
        <v>1175000</v>
      </c>
      <c r="AA64" s="3">
        <v>611000</v>
      </c>
      <c r="AB64" s="3">
        <v>0</v>
      </c>
      <c r="AC64" s="3">
        <v>5264000</v>
      </c>
      <c r="AD64" s="3" t="s">
        <v>84</v>
      </c>
      <c r="AE64" s="3" t="s">
        <v>85</v>
      </c>
    </row>
    <row r="65" spans="1:35" x14ac:dyDescent="0.25">
      <c r="B65" s="3" t="s">
        <v>125</v>
      </c>
      <c r="C65" s="3" t="s">
        <v>129</v>
      </c>
      <c r="D65" s="3" t="s">
        <v>130</v>
      </c>
      <c r="E65" s="3" t="s">
        <v>131</v>
      </c>
      <c r="G65" s="3" t="s">
        <v>175</v>
      </c>
      <c r="H65" s="3" t="s">
        <v>176</v>
      </c>
      <c r="I65" s="3" t="s">
        <v>177</v>
      </c>
      <c r="J65" s="3">
        <v>2500000</v>
      </c>
      <c r="K65" s="3">
        <v>3500000</v>
      </c>
      <c r="N65" s="3" t="s">
        <v>554</v>
      </c>
      <c r="O65" s="5" t="s">
        <v>547</v>
      </c>
      <c r="P65" s="3" t="s">
        <v>311</v>
      </c>
      <c r="Q65" s="3" t="s">
        <v>553</v>
      </c>
      <c r="R65" s="3" t="s">
        <v>555</v>
      </c>
      <c r="S65" s="3">
        <v>2500000</v>
      </c>
      <c r="T65" s="3" t="s">
        <v>60</v>
      </c>
      <c r="V65" s="3" t="s">
        <v>560</v>
      </c>
      <c r="W65" s="5" t="s">
        <v>547</v>
      </c>
      <c r="X65" s="3" t="s">
        <v>82</v>
      </c>
      <c r="Y65" s="3" t="s">
        <v>83</v>
      </c>
      <c r="Z65" s="3">
        <v>625000</v>
      </c>
      <c r="AA65" s="3">
        <v>325000</v>
      </c>
      <c r="AB65" s="3">
        <v>0</v>
      </c>
      <c r="AC65" s="3">
        <v>2800000</v>
      </c>
      <c r="AD65" s="3" t="s">
        <v>84</v>
      </c>
      <c r="AE65" s="3" t="s">
        <v>85</v>
      </c>
    </row>
    <row r="66" spans="1:35" x14ac:dyDescent="0.25">
      <c r="B66" s="3" t="s">
        <v>174</v>
      </c>
      <c r="C66" s="3" t="s">
        <v>178</v>
      </c>
      <c r="D66" s="3" t="s">
        <v>179</v>
      </c>
      <c r="E66" s="3" t="s">
        <v>180</v>
      </c>
      <c r="G66" s="3" t="s">
        <v>153</v>
      </c>
      <c r="H66" s="3" t="s">
        <v>154</v>
      </c>
      <c r="I66" s="3" t="s">
        <v>128</v>
      </c>
      <c r="J66" s="3">
        <v>5000000</v>
      </c>
      <c r="K66" s="3">
        <v>8000000</v>
      </c>
      <c r="N66" s="3" t="s">
        <v>570</v>
      </c>
      <c r="O66" s="5" t="s">
        <v>563</v>
      </c>
      <c r="P66" s="3" t="s">
        <v>69</v>
      </c>
      <c r="Q66" s="3" t="s">
        <v>569</v>
      </c>
      <c r="R66" s="3" t="s">
        <v>571</v>
      </c>
      <c r="S66" s="3">
        <v>5600000</v>
      </c>
      <c r="T66" s="3" t="s">
        <v>60</v>
      </c>
      <c r="V66" s="3" t="s">
        <v>575</v>
      </c>
      <c r="W66" s="5" t="s">
        <v>563</v>
      </c>
      <c r="X66" s="3" t="s">
        <v>82</v>
      </c>
      <c r="Y66" s="3" t="s">
        <v>83</v>
      </c>
      <c r="Z66" s="3">
        <v>1400000</v>
      </c>
      <c r="AA66" s="3">
        <v>728000</v>
      </c>
      <c r="AB66" s="3">
        <v>0</v>
      </c>
      <c r="AC66" s="3">
        <v>6272000</v>
      </c>
      <c r="AD66" s="3" t="s">
        <v>84</v>
      </c>
      <c r="AE66" s="3" t="s">
        <v>85</v>
      </c>
    </row>
    <row r="69" spans="1:35" x14ac:dyDescent="0.25">
      <c r="B69" s="25" t="s">
        <v>605</v>
      </c>
      <c r="C69" s="25"/>
      <c r="D69" s="25"/>
      <c r="E69" s="25"/>
      <c r="F69" s="26"/>
      <c r="H69" s="23" t="s">
        <v>607</v>
      </c>
      <c r="I69" s="23"/>
      <c r="J69" s="23"/>
      <c r="K69" s="23"/>
      <c r="L69" s="23"/>
      <c r="N69" s="23" t="s">
        <v>608</v>
      </c>
      <c r="O69" s="23"/>
      <c r="P69" s="23"/>
      <c r="Q69" s="23"/>
      <c r="R69" s="23"/>
      <c r="S69" s="23"/>
      <c r="T69" s="23"/>
      <c r="V69" s="25" t="s">
        <v>641</v>
      </c>
      <c r="W69" s="25"/>
      <c r="X69" s="25"/>
      <c r="Y69" s="25"/>
      <c r="Z69" s="25"/>
      <c r="AA69" s="25"/>
      <c r="AB69" s="25"/>
      <c r="AD69" s="23" t="s">
        <v>642</v>
      </c>
      <c r="AE69" s="23"/>
      <c r="AF69" s="23"/>
      <c r="AG69" s="23"/>
      <c r="AH69" s="23"/>
      <c r="AI69" s="23"/>
    </row>
    <row r="70" spans="1:35" x14ac:dyDescent="0.25">
      <c r="B70" s="4" t="s">
        <v>650</v>
      </c>
      <c r="C70" s="4" t="s">
        <v>606</v>
      </c>
      <c r="D70" s="4" t="s">
        <v>48</v>
      </c>
      <c r="E70" s="4" t="s">
        <v>582</v>
      </c>
      <c r="F70" s="4" t="s">
        <v>583</v>
      </c>
      <c r="H70" s="4" t="s">
        <v>649</v>
      </c>
      <c r="I70" s="6" t="s">
        <v>606</v>
      </c>
      <c r="J70" s="4" t="s">
        <v>50</v>
      </c>
      <c r="K70" s="4" t="s">
        <v>598</v>
      </c>
      <c r="L70" s="4" t="s">
        <v>578</v>
      </c>
      <c r="N70" s="4" t="s">
        <v>648</v>
      </c>
      <c r="O70" s="4" t="s">
        <v>645</v>
      </c>
      <c r="P70" s="9" t="s">
        <v>28</v>
      </c>
      <c r="Q70" s="4" t="s">
        <v>29</v>
      </c>
      <c r="R70" s="4" t="s">
        <v>30</v>
      </c>
      <c r="S70" s="4" t="s">
        <v>31</v>
      </c>
      <c r="T70" s="4" t="s">
        <v>579</v>
      </c>
      <c r="V70" s="4" t="s">
        <v>647</v>
      </c>
      <c r="W70" s="6" t="s">
        <v>645</v>
      </c>
      <c r="X70" s="4" t="s">
        <v>33</v>
      </c>
      <c r="Y70" s="4" t="s">
        <v>34</v>
      </c>
      <c r="Z70" s="4" t="s">
        <v>35</v>
      </c>
      <c r="AA70" s="4" t="s">
        <v>36</v>
      </c>
      <c r="AB70" s="4" t="s">
        <v>37</v>
      </c>
      <c r="AD70" s="4" t="s">
        <v>646</v>
      </c>
      <c r="AE70" s="6" t="s">
        <v>645</v>
      </c>
      <c r="AF70" s="4" t="s">
        <v>23</v>
      </c>
      <c r="AG70" s="4" t="s">
        <v>24</v>
      </c>
      <c r="AH70" s="4" t="s">
        <v>25</v>
      </c>
      <c r="AI70" s="4" t="s">
        <v>26</v>
      </c>
    </row>
    <row r="71" spans="1:35" x14ac:dyDescent="0.25">
      <c r="A71" s="29"/>
      <c r="B71" s="3" t="s">
        <v>86</v>
      </c>
      <c r="C71" s="3" t="s">
        <v>81</v>
      </c>
      <c r="D71" s="3" t="s">
        <v>87</v>
      </c>
      <c r="E71" s="3">
        <v>1500000</v>
      </c>
      <c r="F71" s="3" t="str">
        <f>_xlfn.IFS(
D71="Tunjangan Jabatan","Sesuai jabatan",
D71="Tunjangan Makan","Biaya makan",
D71="Tunjangan Transportasi","Biaya transport",
D71="Tunjangan Kesehatan","Biaya kesehatan"
)</f>
        <v>Sesuai jabatan</v>
      </c>
      <c r="H71" s="3" t="s">
        <v>88</v>
      </c>
      <c r="I71" s="3" t="s">
        <v>81</v>
      </c>
      <c r="J71" s="3" t="s">
        <v>89</v>
      </c>
      <c r="K71" s="3">
        <v>250000</v>
      </c>
      <c r="L71" s="3" t="s">
        <v>90</v>
      </c>
      <c r="N71" s="3" t="s">
        <v>75</v>
      </c>
      <c r="O71" s="3" t="s">
        <v>52</v>
      </c>
      <c r="P71" s="7">
        <v>45754</v>
      </c>
      <c r="Q71" s="8">
        <v>0.33333333333333331</v>
      </c>
      <c r="R71" s="8">
        <v>0.70833333333333337</v>
      </c>
      <c r="S71" s="3" t="s">
        <v>79</v>
      </c>
      <c r="T71" s="3" t="s">
        <v>80</v>
      </c>
      <c r="V71" s="3" t="s">
        <v>609</v>
      </c>
      <c r="W71" s="3" t="s">
        <v>52</v>
      </c>
      <c r="X71" s="7">
        <v>45755</v>
      </c>
      <c r="Y71" s="3">
        <v>3</v>
      </c>
      <c r="Z71" s="3" t="s">
        <v>610</v>
      </c>
      <c r="AA71" s="3" t="s">
        <v>611</v>
      </c>
      <c r="AB71" s="3">
        <v>25000</v>
      </c>
      <c r="AD71" s="3" t="s">
        <v>71</v>
      </c>
      <c r="AE71" s="3" t="s">
        <v>52</v>
      </c>
      <c r="AF71" s="3" t="s">
        <v>72</v>
      </c>
      <c r="AG71" s="3" t="s">
        <v>73</v>
      </c>
      <c r="AH71" s="3" t="s">
        <v>54</v>
      </c>
      <c r="AI71" s="3" t="s">
        <v>74</v>
      </c>
    </row>
    <row r="72" spans="1:35" x14ac:dyDescent="0.25">
      <c r="A72" s="29"/>
      <c r="B72" s="3" t="s">
        <v>113</v>
      </c>
      <c r="C72" s="3" t="s">
        <v>112</v>
      </c>
      <c r="D72" s="3" t="s">
        <v>114</v>
      </c>
      <c r="E72" s="3">
        <v>600000</v>
      </c>
      <c r="F72" s="3" t="str">
        <f t="shared" ref="F72:F104" si="0">_xlfn.IFS(
D72="Tunjangan Jabatan","Sesuai jabatan",
D72="Tunjangan Makan","Biaya makan",
D72="Tunjangan Transportasi","Biaya transport",
D72="Tunjangan Kesehatan","Biaya kesehatan"
)</f>
        <v>Biaya makan</v>
      </c>
      <c r="H72" s="3" t="s">
        <v>115</v>
      </c>
      <c r="I72" s="3" t="s">
        <v>112</v>
      </c>
      <c r="J72" s="3" t="s">
        <v>116</v>
      </c>
      <c r="K72" s="3">
        <v>200000</v>
      </c>
      <c r="L72" s="3" t="s">
        <v>117</v>
      </c>
      <c r="N72" s="3" t="s">
        <v>670</v>
      </c>
      <c r="O72" s="3" t="s">
        <v>52</v>
      </c>
      <c r="P72" s="7">
        <v>45758</v>
      </c>
      <c r="Q72" s="3" t="s">
        <v>80</v>
      </c>
      <c r="R72" s="3" t="s">
        <v>80</v>
      </c>
      <c r="S72" s="3" t="s">
        <v>220</v>
      </c>
      <c r="T72" s="3" t="s">
        <v>221</v>
      </c>
      <c r="V72" s="3" t="s">
        <v>612</v>
      </c>
      <c r="W72" s="3" t="s">
        <v>91</v>
      </c>
      <c r="X72" s="3">
        <v>45767</v>
      </c>
      <c r="Y72" s="3">
        <v>2</v>
      </c>
      <c r="Z72" s="3" t="s">
        <v>613</v>
      </c>
      <c r="AA72" s="3" t="s">
        <v>614</v>
      </c>
      <c r="AB72" s="3">
        <v>22500</v>
      </c>
      <c r="AD72" s="3" t="s">
        <v>108</v>
      </c>
      <c r="AE72" s="3" t="s">
        <v>91</v>
      </c>
      <c r="AF72" s="3" t="s">
        <v>109</v>
      </c>
      <c r="AG72" s="3" t="s">
        <v>110</v>
      </c>
      <c r="AH72" s="3" t="s">
        <v>93</v>
      </c>
      <c r="AI72" s="3" t="s">
        <v>74</v>
      </c>
    </row>
    <row r="73" spans="1:35" x14ac:dyDescent="0.25">
      <c r="A73" s="29"/>
      <c r="B73" s="3" t="s">
        <v>664</v>
      </c>
      <c r="C73" s="3" t="s">
        <v>112</v>
      </c>
      <c r="D73" s="3" t="s">
        <v>87</v>
      </c>
      <c r="E73" s="3">
        <v>1000000</v>
      </c>
      <c r="F73" s="3" t="str">
        <f t="shared" si="0"/>
        <v>Sesuai jabatan</v>
      </c>
      <c r="H73" s="3" t="s">
        <v>142</v>
      </c>
      <c r="I73" s="3" t="s">
        <v>139</v>
      </c>
      <c r="J73" s="3" t="s">
        <v>143</v>
      </c>
      <c r="K73" s="3">
        <v>800000</v>
      </c>
      <c r="L73" s="3" t="s">
        <v>144</v>
      </c>
      <c r="N73" s="3" t="s">
        <v>111</v>
      </c>
      <c r="O73" s="3" t="s">
        <v>91</v>
      </c>
      <c r="P73" s="7" t="s">
        <v>76</v>
      </c>
      <c r="Q73" s="3" t="s">
        <v>77</v>
      </c>
      <c r="R73" s="3" t="s">
        <v>78</v>
      </c>
      <c r="S73" s="3" t="s">
        <v>79</v>
      </c>
      <c r="T73" s="3" t="s">
        <v>80</v>
      </c>
      <c r="V73" s="3" t="s">
        <v>615</v>
      </c>
      <c r="W73" s="3" t="s">
        <v>118</v>
      </c>
      <c r="X73" s="7">
        <v>45756</v>
      </c>
      <c r="Y73" s="3">
        <v>2</v>
      </c>
      <c r="Z73" s="3" t="s">
        <v>616</v>
      </c>
      <c r="AA73" s="3" t="s">
        <v>611</v>
      </c>
      <c r="AB73" s="3">
        <v>27500</v>
      </c>
      <c r="AD73" s="3" t="s">
        <v>135</v>
      </c>
      <c r="AE73" s="3" t="s">
        <v>118</v>
      </c>
      <c r="AF73" s="3" t="s">
        <v>136</v>
      </c>
      <c r="AG73" s="3" t="s">
        <v>137</v>
      </c>
      <c r="AH73" s="3" t="s">
        <v>120</v>
      </c>
      <c r="AI73" s="3" t="s">
        <v>74</v>
      </c>
    </row>
    <row r="74" spans="1:35" x14ac:dyDescent="0.25">
      <c r="A74" s="29"/>
      <c r="B74" s="3" t="s">
        <v>140</v>
      </c>
      <c r="C74" s="3" t="s">
        <v>139</v>
      </c>
      <c r="D74" s="3" t="s">
        <v>141</v>
      </c>
      <c r="E74" s="3">
        <v>400000</v>
      </c>
      <c r="F74" s="3" t="str">
        <f t="shared" si="0"/>
        <v>Biaya transport</v>
      </c>
      <c r="H74" s="3" t="s">
        <v>166</v>
      </c>
      <c r="I74" s="3" t="s">
        <v>164</v>
      </c>
      <c r="J74" s="3" t="s">
        <v>89</v>
      </c>
      <c r="K74" s="3">
        <v>112500</v>
      </c>
      <c r="L74" s="3" t="s">
        <v>90</v>
      </c>
      <c r="N74" s="3" t="s">
        <v>138</v>
      </c>
      <c r="O74" s="3" t="s">
        <v>118</v>
      </c>
      <c r="P74" s="7" t="s">
        <v>76</v>
      </c>
      <c r="Q74" s="3" t="s">
        <v>77</v>
      </c>
      <c r="R74" s="3" t="s">
        <v>78</v>
      </c>
      <c r="S74" s="3" t="s">
        <v>79</v>
      </c>
      <c r="T74" s="3" t="s">
        <v>80</v>
      </c>
      <c r="V74" s="3" t="s">
        <v>617</v>
      </c>
      <c r="W74" s="3" t="s">
        <v>145</v>
      </c>
      <c r="X74" s="7">
        <v>45757</v>
      </c>
      <c r="Y74" s="3">
        <v>4</v>
      </c>
      <c r="Z74" s="3" t="s">
        <v>618</v>
      </c>
      <c r="AA74" s="3" t="s">
        <v>611</v>
      </c>
      <c r="AB74" s="3">
        <v>22000</v>
      </c>
      <c r="AD74" s="3" t="s">
        <v>160</v>
      </c>
      <c r="AE74" s="3" t="s">
        <v>145</v>
      </c>
      <c r="AF74" s="3" t="s">
        <v>161</v>
      </c>
      <c r="AG74" s="3" t="s">
        <v>162</v>
      </c>
      <c r="AH74" s="3" t="s">
        <v>147</v>
      </c>
      <c r="AI74" s="3" t="s">
        <v>74</v>
      </c>
    </row>
    <row r="75" spans="1:35" x14ac:dyDescent="0.25">
      <c r="A75" s="29"/>
      <c r="B75" s="3" t="s">
        <v>165</v>
      </c>
      <c r="C75" s="3" t="s">
        <v>164</v>
      </c>
      <c r="D75" s="3" t="s">
        <v>114</v>
      </c>
      <c r="E75" s="3">
        <v>600000</v>
      </c>
      <c r="F75" s="3" t="str">
        <f t="shared" si="0"/>
        <v>Biaya makan</v>
      </c>
      <c r="H75" s="3" t="s">
        <v>189</v>
      </c>
      <c r="I75" s="3" t="s">
        <v>187</v>
      </c>
      <c r="J75" s="3" t="s">
        <v>116</v>
      </c>
      <c r="K75" s="3">
        <v>90000</v>
      </c>
      <c r="L75" s="3" t="s">
        <v>117</v>
      </c>
      <c r="N75" s="3" t="s">
        <v>163</v>
      </c>
      <c r="O75" s="3" t="s">
        <v>145</v>
      </c>
      <c r="P75" s="7" t="s">
        <v>76</v>
      </c>
      <c r="Q75" s="3" t="s">
        <v>77</v>
      </c>
      <c r="R75" s="3" t="s">
        <v>78</v>
      </c>
      <c r="S75" s="3" t="s">
        <v>79</v>
      </c>
      <c r="T75" s="3" t="s">
        <v>80</v>
      </c>
      <c r="V75" s="3" t="s">
        <v>80</v>
      </c>
      <c r="W75" s="3" t="s">
        <v>167</v>
      </c>
      <c r="X75" s="7" t="s">
        <v>80</v>
      </c>
      <c r="Y75" s="3" t="s">
        <v>80</v>
      </c>
      <c r="Z75" s="3" t="s">
        <v>80</v>
      </c>
      <c r="AA75" s="3" t="s">
        <v>80</v>
      </c>
      <c r="AB75" s="3" t="s">
        <v>80</v>
      </c>
      <c r="AD75" s="3" t="s">
        <v>183</v>
      </c>
      <c r="AE75" s="3" t="s">
        <v>167</v>
      </c>
      <c r="AF75" s="3" t="s">
        <v>72</v>
      </c>
      <c r="AG75" s="3" t="s">
        <v>184</v>
      </c>
      <c r="AH75" s="3" t="s">
        <v>169</v>
      </c>
      <c r="AI75" s="3" t="s">
        <v>185</v>
      </c>
    </row>
    <row r="76" spans="1:35" x14ac:dyDescent="0.25">
      <c r="A76" s="29"/>
      <c r="B76" s="3" t="s">
        <v>188</v>
      </c>
      <c r="C76" s="3" t="s">
        <v>187</v>
      </c>
      <c r="D76" s="3" t="s">
        <v>141</v>
      </c>
      <c r="E76" s="3">
        <v>400000</v>
      </c>
      <c r="F76" s="3" t="str">
        <f t="shared" si="0"/>
        <v>Biaya transport</v>
      </c>
      <c r="H76" s="3" t="s">
        <v>206</v>
      </c>
      <c r="I76" s="3" t="s">
        <v>203</v>
      </c>
      <c r="J76" s="3" t="s">
        <v>143</v>
      </c>
      <c r="K76" s="3">
        <v>397500</v>
      </c>
      <c r="L76" s="3" t="s">
        <v>144</v>
      </c>
      <c r="N76" s="3" t="s">
        <v>186</v>
      </c>
      <c r="O76" s="3" t="s">
        <v>167</v>
      </c>
      <c r="P76" s="7" t="s">
        <v>76</v>
      </c>
      <c r="Q76" s="3" t="s">
        <v>77</v>
      </c>
      <c r="R76" s="3" t="s">
        <v>78</v>
      </c>
      <c r="S76" s="3" t="s">
        <v>79</v>
      </c>
      <c r="T76" s="3" t="s">
        <v>80</v>
      </c>
      <c r="V76" s="3" t="s">
        <v>619</v>
      </c>
      <c r="W76" s="3" t="s">
        <v>190</v>
      </c>
      <c r="X76" s="7">
        <v>45758</v>
      </c>
      <c r="Y76" s="3">
        <v>2</v>
      </c>
      <c r="Z76" s="3" t="s">
        <v>620</v>
      </c>
      <c r="AA76" s="3" t="s">
        <v>611</v>
      </c>
      <c r="AB76" s="3">
        <v>22000</v>
      </c>
      <c r="AD76" s="3" t="s">
        <v>199</v>
      </c>
      <c r="AE76" s="3" t="s">
        <v>190</v>
      </c>
      <c r="AF76" s="3" t="s">
        <v>200</v>
      </c>
      <c r="AG76" s="3" t="s">
        <v>201</v>
      </c>
      <c r="AH76" s="3" t="s">
        <v>192</v>
      </c>
      <c r="AI76" s="3" t="s">
        <v>74</v>
      </c>
    </row>
    <row r="77" spans="1:35" x14ac:dyDescent="0.25">
      <c r="A77" s="29"/>
      <c r="B77" s="3" t="s">
        <v>204</v>
      </c>
      <c r="C77" s="3" t="s">
        <v>203</v>
      </c>
      <c r="D77" s="3" t="s">
        <v>205</v>
      </c>
      <c r="E77" s="3">
        <v>200000</v>
      </c>
      <c r="F77" s="3" t="str">
        <f t="shared" si="0"/>
        <v>Biaya kesehatan</v>
      </c>
      <c r="H77" s="3" t="s">
        <v>224</v>
      </c>
      <c r="I77" s="3" t="s">
        <v>222</v>
      </c>
      <c r="J77" s="3" t="s">
        <v>89</v>
      </c>
      <c r="K77" s="3">
        <v>150000</v>
      </c>
      <c r="L77" s="3" t="s">
        <v>90</v>
      </c>
      <c r="N77" s="3" t="s">
        <v>202</v>
      </c>
      <c r="O77" s="3" t="s">
        <v>190</v>
      </c>
      <c r="P77" s="7" t="s">
        <v>76</v>
      </c>
      <c r="Q77" s="3" t="s">
        <v>77</v>
      </c>
      <c r="R77" s="3" t="s">
        <v>78</v>
      </c>
      <c r="S77" s="3" t="s">
        <v>79</v>
      </c>
      <c r="T77" s="3" t="s">
        <v>80</v>
      </c>
      <c r="V77" s="3" t="s">
        <v>621</v>
      </c>
      <c r="W77" s="3" t="s">
        <v>207</v>
      </c>
      <c r="X77" s="3">
        <v>45769</v>
      </c>
      <c r="Y77" s="3">
        <v>3</v>
      </c>
      <c r="Z77" s="3" t="s">
        <v>622</v>
      </c>
      <c r="AA77" s="3" t="s">
        <v>614</v>
      </c>
      <c r="AB77" s="3">
        <v>20000</v>
      </c>
      <c r="AD77" s="3" t="s">
        <v>216</v>
      </c>
      <c r="AE77" s="3" t="s">
        <v>207</v>
      </c>
      <c r="AF77" s="3" t="s">
        <v>109</v>
      </c>
      <c r="AG77" s="3" t="s">
        <v>217</v>
      </c>
      <c r="AH77" s="3" t="s">
        <v>209</v>
      </c>
      <c r="AI77" s="3" t="s">
        <v>218</v>
      </c>
    </row>
    <row r="78" spans="1:35" x14ac:dyDescent="0.25">
      <c r="A78" s="29"/>
      <c r="B78" s="3" t="s">
        <v>223</v>
      </c>
      <c r="C78" s="3" t="s">
        <v>222</v>
      </c>
      <c r="D78" s="3" t="s">
        <v>87</v>
      </c>
      <c r="E78" s="3">
        <v>700000</v>
      </c>
      <c r="F78" s="3" t="str">
        <f t="shared" si="0"/>
        <v>Sesuai jabatan</v>
      </c>
      <c r="H78" s="3" t="s">
        <v>239</v>
      </c>
      <c r="I78" s="3" t="s">
        <v>237</v>
      </c>
      <c r="J78" s="3" t="s">
        <v>116</v>
      </c>
      <c r="K78" s="3">
        <v>120000</v>
      </c>
      <c r="L78" s="3" t="s">
        <v>117</v>
      </c>
      <c r="N78" s="3" t="s">
        <v>219</v>
      </c>
      <c r="O78" s="3" t="s">
        <v>207</v>
      </c>
      <c r="P78" s="7" t="s">
        <v>76</v>
      </c>
      <c r="Q78" s="3" t="s">
        <v>80</v>
      </c>
      <c r="R78" s="3" t="s">
        <v>80</v>
      </c>
      <c r="S78" s="3" t="s">
        <v>220</v>
      </c>
      <c r="T78" s="3" t="s">
        <v>221</v>
      </c>
      <c r="V78" s="3" t="s">
        <v>623</v>
      </c>
      <c r="W78" s="3" t="s">
        <v>225</v>
      </c>
      <c r="X78" s="7">
        <v>45759</v>
      </c>
      <c r="Y78" s="3">
        <v>3</v>
      </c>
      <c r="Z78" s="3" t="s">
        <v>624</v>
      </c>
      <c r="AA78" s="3" t="s">
        <v>611</v>
      </c>
      <c r="AB78" s="3">
        <v>23000</v>
      </c>
      <c r="AD78" s="3" t="s">
        <v>234</v>
      </c>
      <c r="AE78" s="3" t="s">
        <v>225</v>
      </c>
      <c r="AF78" s="3" t="s">
        <v>72</v>
      </c>
      <c r="AG78" s="3" t="s">
        <v>235</v>
      </c>
      <c r="AH78" s="3" t="s">
        <v>227</v>
      </c>
      <c r="AI78" s="3" t="s">
        <v>185</v>
      </c>
    </row>
    <row r="79" spans="1:35" x14ac:dyDescent="0.25">
      <c r="A79" s="29"/>
      <c r="B79" s="3" t="s">
        <v>238</v>
      </c>
      <c r="C79" s="3" t="s">
        <v>237</v>
      </c>
      <c r="D79" s="3" t="s">
        <v>114</v>
      </c>
      <c r="E79" s="3">
        <v>500000</v>
      </c>
      <c r="F79" s="3" t="str">
        <f t="shared" si="0"/>
        <v>Biaya makan</v>
      </c>
      <c r="H79" s="3" t="s">
        <v>256</v>
      </c>
      <c r="I79" s="3" t="s">
        <v>254</v>
      </c>
      <c r="J79" s="3" t="s">
        <v>143</v>
      </c>
      <c r="K79" s="3">
        <v>510000</v>
      </c>
      <c r="L79" s="3" t="s">
        <v>144</v>
      </c>
      <c r="N79" s="3" t="s">
        <v>236</v>
      </c>
      <c r="O79" s="3" t="s">
        <v>225</v>
      </c>
      <c r="P79" s="7" t="s">
        <v>76</v>
      </c>
      <c r="Q79" s="3" t="s">
        <v>77</v>
      </c>
      <c r="R79" s="3" t="s">
        <v>78</v>
      </c>
      <c r="S79" s="3" t="s">
        <v>79</v>
      </c>
      <c r="T79" s="3" t="s">
        <v>80</v>
      </c>
      <c r="V79" s="3" t="s">
        <v>625</v>
      </c>
      <c r="W79" s="3" t="s">
        <v>240</v>
      </c>
      <c r="X79" s="7">
        <v>45760</v>
      </c>
      <c r="Y79" s="3">
        <v>5</v>
      </c>
      <c r="Z79" s="3" t="s">
        <v>626</v>
      </c>
      <c r="AA79" s="3" t="s">
        <v>611</v>
      </c>
      <c r="AB79" s="3">
        <v>27500</v>
      </c>
      <c r="AD79" s="3" t="s">
        <v>251</v>
      </c>
      <c r="AE79" s="3" t="s">
        <v>240</v>
      </c>
      <c r="AF79" s="3" t="s">
        <v>136</v>
      </c>
      <c r="AG79" s="3" t="s">
        <v>252</v>
      </c>
      <c r="AH79" s="3" t="s">
        <v>242</v>
      </c>
      <c r="AI79" s="3" t="s">
        <v>74</v>
      </c>
    </row>
    <row r="80" spans="1:35" x14ac:dyDescent="0.25">
      <c r="A80" s="29"/>
      <c r="B80" s="3" t="s">
        <v>255</v>
      </c>
      <c r="C80" s="3" t="s">
        <v>254</v>
      </c>
      <c r="D80" s="3" t="s">
        <v>141</v>
      </c>
      <c r="E80" s="3">
        <v>300000</v>
      </c>
      <c r="F80" s="3" t="str">
        <f t="shared" si="0"/>
        <v>Biaya transport</v>
      </c>
      <c r="H80" s="3" t="s">
        <v>273</v>
      </c>
      <c r="I80" s="3" t="s">
        <v>271</v>
      </c>
      <c r="J80" s="3" t="s">
        <v>89</v>
      </c>
      <c r="K80" s="3">
        <v>162500</v>
      </c>
      <c r="L80" s="3" t="s">
        <v>90</v>
      </c>
      <c r="N80" s="3" t="s">
        <v>253</v>
      </c>
      <c r="O80" s="3" t="s">
        <v>240</v>
      </c>
      <c r="P80" s="7" t="s">
        <v>76</v>
      </c>
      <c r="Q80" s="3" t="s">
        <v>77</v>
      </c>
      <c r="R80" s="3" t="s">
        <v>78</v>
      </c>
      <c r="S80" s="3" t="s">
        <v>79</v>
      </c>
      <c r="T80" s="3" t="s">
        <v>80</v>
      </c>
      <c r="V80" s="3" t="s">
        <v>627</v>
      </c>
      <c r="W80" s="3" t="s">
        <v>257</v>
      </c>
      <c r="X80" s="7">
        <v>45770</v>
      </c>
      <c r="Y80" s="3">
        <v>2</v>
      </c>
      <c r="Z80" s="3" t="s">
        <v>628</v>
      </c>
      <c r="AA80" s="3" t="s">
        <v>614</v>
      </c>
      <c r="AB80" s="3">
        <v>21000</v>
      </c>
      <c r="AD80" s="3" t="s">
        <v>266</v>
      </c>
      <c r="AE80" s="3" t="s">
        <v>257</v>
      </c>
      <c r="AF80" s="3" t="s">
        <v>161</v>
      </c>
      <c r="AG80" s="3" t="s">
        <v>267</v>
      </c>
      <c r="AH80" s="3" t="s">
        <v>259</v>
      </c>
      <c r="AI80" s="3" t="s">
        <v>185</v>
      </c>
    </row>
    <row r="81" spans="1:35" x14ac:dyDescent="0.25">
      <c r="A81" s="29"/>
      <c r="B81" s="3" t="s">
        <v>272</v>
      </c>
      <c r="C81" s="3" t="s">
        <v>271</v>
      </c>
      <c r="D81" s="3" t="s">
        <v>87</v>
      </c>
      <c r="E81" s="3">
        <v>900000</v>
      </c>
      <c r="F81" s="3" t="str">
        <f t="shared" si="0"/>
        <v>Sesuai jabatan</v>
      </c>
      <c r="H81" s="3" t="s">
        <v>287</v>
      </c>
      <c r="I81" s="3" t="s">
        <v>285</v>
      </c>
      <c r="J81" s="3" t="s">
        <v>116</v>
      </c>
      <c r="K81" s="3">
        <v>130000</v>
      </c>
      <c r="L81" s="3" t="s">
        <v>117</v>
      </c>
      <c r="N81" s="3" t="s">
        <v>268</v>
      </c>
      <c r="O81" s="3" t="s">
        <v>257</v>
      </c>
      <c r="P81" s="7" t="s">
        <v>76</v>
      </c>
      <c r="Q81" s="3" t="s">
        <v>80</v>
      </c>
      <c r="R81" s="3" t="s">
        <v>80</v>
      </c>
      <c r="S81" s="3" t="s">
        <v>269</v>
      </c>
      <c r="T81" s="3" t="s">
        <v>270</v>
      </c>
      <c r="V81" s="3" t="s">
        <v>80</v>
      </c>
      <c r="W81" s="3" t="s">
        <v>274</v>
      </c>
      <c r="X81" s="7" t="s">
        <v>80</v>
      </c>
      <c r="Y81" s="3" t="s">
        <v>80</v>
      </c>
      <c r="Z81" s="3" t="s">
        <v>80</v>
      </c>
      <c r="AA81" s="3" t="s">
        <v>80</v>
      </c>
      <c r="AB81" s="3" t="s">
        <v>80</v>
      </c>
      <c r="AD81" s="3" t="s">
        <v>282</v>
      </c>
      <c r="AE81" s="3" t="s">
        <v>274</v>
      </c>
      <c r="AF81" s="3" t="s">
        <v>109</v>
      </c>
      <c r="AG81" s="3" t="s">
        <v>283</v>
      </c>
      <c r="AH81" s="3" t="s">
        <v>276</v>
      </c>
      <c r="AI81" s="3" t="s">
        <v>74</v>
      </c>
    </row>
    <row r="82" spans="1:35" x14ac:dyDescent="0.25">
      <c r="A82" s="29"/>
      <c r="B82" s="3" t="s">
        <v>286</v>
      </c>
      <c r="C82" s="3" t="s">
        <v>285</v>
      </c>
      <c r="D82" s="3" t="s">
        <v>114</v>
      </c>
      <c r="E82" s="3">
        <v>500000</v>
      </c>
      <c r="F82" s="3" t="str">
        <f t="shared" si="0"/>
        <v>Biaya makan</v>
      </c>
      <c r="H82" s="3" t="s">
        <v>302</v>
      </c>
      <c r="I82" s="3" t="s">
        <v>300</v>
      </c>
      <c r="J82" s="3" t="s">
        <v>143</v>
      </c>
      <c r="K82" s="3">
        <v>557500</v>
      </c>
      <c r="L82" s="3" t="s">
        <v>144</v>
      </c>
      <c r="N82" s="3" t="s">
        <v>284</v>
      </c>
      <c r="O82" s="3" t="s">
        <v>274</v>
      </c>
      <c r="P82" s="7" t="s">
        <v>76</v>
      </c>
      <c r="Q82" s="3" t="s">
        <v>77</v>
      </c>
      <c r="R82" s="3" t="s">
        <v>78</v>
      </c>
      <c r="S82" s="3" t="s">
        <v>79</v>
      </c>
      <c r="T82" s="3" t="s">
        <v>80</v>
      </c>
      <c r="V82" s="3" t="s">
        <v>629</v>
      </c>
      <c r="W82" s="3" t="s">
        <v>288</v>
      </c>
      <c r="X82" s="7">
        <v>45761</v>
      </c>
      <c r="Y82" s="3">
        <v>2</v>
      </c>
      <c r="Z82" s="3" t="s">
        <v>630</v>
      </c>
      <c r="AA82" s="3" t="s">
        <v>611</v>
      </c>
      <c r="AB82" s="3">
        <v>30000</v>
      </c>
      <c r="AD82" s="3" t="s">
        <v>297</v>
      </c>
      <c r="AE82" s="3" t="s">
        <v>288</v>
      </c>
      <c r="AF82" s="3" t="s">
        <v>72</v>
      </c>
      <c r="AG82" s="3" t="s">
        <v>298</v>
      </c>
      <c r="AH82" s="3" t="s">
        <v>290</v>
      </c>
      <c r="AI82" s="3" t="s">
        <v>185</v>
      </c>
    </row>
    <row r="83" spans="1:35" x14ac:dyDescent="0.25">
      <c r="A83" s="29"/>
      <c r="B83" s="3" t="s">
        <v>301</v>
      </c>
      <c r="C83" s="3" t="s">
        <v>300</v>
      </c>
      <c r="D83" s="3" t="s">
        <v>141</v>
      </c>
      <c r="E83" s="3">
        <v>300000</v>
      </c>
      <c r="F83" s="3" t="str">
        <f t="shared" si="0"/>
        <v>Biaya transport</v>
      </c>
      <c r="H83" s="3" t="s">
        <v>317</v>
      </c>
      <c r="I83" s="3" t="s">
        <v>315</v>
      </c>
      <c r="J83" s="3" t="s">
        <v>89</v>
      </c>
      <c r="K83" s="3">
        <v>70000</v>
      </c>
      <c r="L83" s="3" t="s">
        <v>90</v>
      </c>
      <c r="N83" s="3" t="s">
        <v>299</v>
      </c>
      <c r="O83" s="3" t="s">
        <v>288</v>
      </c>
      <c r="P83" s="7" t="s">
        <v>76</v>
      </c>
      <c r="Q83" s="3" t="s">
        <v>77</v>
      </c>
      <c r="R83" s="3" t="s">
        <v>78</v>
      </c>
      <c r="S83" s="3" t="s">
        <v>79</v>
      </c>
      <c r="T83" s="3" t="s">
        <v>80</v>
      </c>
      <c r="V83" s="3" t="s">
        <v>80</v>
      </c>
      <c r="W83" s="3" t="s">
        <v>303</v>
      </c>
      <c r="X83" s="3" t="s">
        <v>80</v>
      </c>
      <c r="Y83" s="3" t="s">
        <v>80</v>
      </c>
      <c r="Z83" s="3" t="s">
        <v>80</v>
      </c>
      <c r="AA83" s="3" t="s">
        <v>80</v>
      </c>
      <c r="AB83" s="3" t="s">
        <v>80</v>
      </c>
      <c r="AD83" s="3" t="s">
        <v>312</v>
      </c>
      <c r="AE83" s="3" t="s">
        <v>303</v>
      </c>
      <c r="AF83" s="3" t="s">
        <v>109</v>
      </c>
      <c r="AG83" s="3" t="s">
        <v>313</v>
      </c>
      <c r="AH83" s="3" t="s">
        <v>305</v>
      </c>
      <c r="AI83" s="3" t="s">
        <v>74</v>
      </c>
    </row>
    <row r="84" spans="1:35" x14ac:dyDescent="0.25">
      <c r="A84" s="29"/>
      <c r="B84" s="3" t="s">
        <v>316</v>
      </c>
      <c r="C84" s="3" t="s">
        <v>315</v>
      </c>
      <c r="D84" s="3" t="s">
        <v>114</v>
      </c>
      <c r="E84" s="3">
        <v>400000</v>
      </c>
      <c r="F84" s="3" t="str">
        <f t="shared" si="0"/>
        <v>Biaya makan</v>
      </c>
      <c r="H84" s="3" t="s">
        <v>332</v>
      </c>
      <c r="I84" s="3" t="s">
        <v>330</v>
      </c>
      <c r="J84" s="3" t="s">
        <v>116</v>
      </c>
      <c r="K84" s="3">
        <v>56000</v>
      </c>
      <c r="L84" s="3" t="s">
        <v>117</v>
      </c>
      <c r="N84" s="3" t="s">
        <v>314</v>
      </c>
      <c r="O84" s="3" t="s">
        <v>303</v>
      </c>
      <c r="P84" s="7" t="s">
        <v>76</v>
      </c>
      <c r="Q84" s="3" t="s">
        <v>77</v>
      </c>
      <c r="R84" s="3" t="s">
        <v>78</v>
      </c>
      <c r="S84" s="3" t="s">
        <v>79</v>
      </c>
      <c r="T84" s="3" t="s">
        <v>80</v>
      </c>
      <c r="V84" s="3" t="s">
        <v>80</v>
      </c>
      <c r="W84" s="3" t="s">
        <v>318</v>
      </c>
      <c r="X84" s="7" t="s">
        <v>80</v>
      </c>
      <c r="Y84" s="3" t="s">
        <v>80</v>
      </c>
      <c r="Z84" s="3" t="s">
        <v>80</v>
      </c>
      <c r="AA84" s="3" t="s">
        <v>80</v>
      </c>
      <c r="AB84" s="3" t="s">
        <v>80</v>
      </c>
      <c r="AD84" s="3" t="s">
        <v>327</v>
      </c>
      <c r="AE84" s="3" t="s">
        <v>318</v>
      </c>
      <c r="AF84" s="3" t="s">
        <v>136</v>
      </c>
      <c r="AG84" s="3" t="s">
        <v>328</v>
      </c>
      <c r="AH84" s="3" t="s">
        <v>320</v>
      </c>
      <c r="AI84" s="3" t="s">
        <v>185</v>
      </c>
    </row>
    <row r="85" spans="1:35" x14ac:dyDescent="0.25">
      <c r="A85" s="29"/>
      <c r="B85" s="3" t="s">
        <v>331</v>
      </c>
      <c r="C85" s="3" t="s">
        <v>330</v>
      </c>
      <c r="D85" s="3" t="s">
        <v>141</v>
      </c>
      <c r="E85" s="3">
        <v>300000</v>
      </c>
      <c r="F85" s="3" t="str">
        <f t="shared" si="0"/>
        <v>Biaya transport</v>
      </c>
      <c r="H85" s="3" t="s">
        <v>347</v>
      </c>
      <c r="I85" s="3" t="s">
        <v>345</v>
      </c>
      <c r="J85" s="3" t="s">
        <v>143</v>
      </c>
      <c r="K85" s="3">
        <v>238000</v>
      </c>
      <c r="L85" s="3" t="s">
        <v>144</v>
      </c>
      <c r="N85" s="3" t="s">
        <v>329</v>
      </c>
      <c r="O85" s="3" t="s">
        <v>318</v>
      </c>
      <c r="P85" s="7">
        <v>45754</v>
      </c>
      <c r="Q85" s="8">
        <v>0.33333333333333331</v>
      </c>
      <c r="R85" s="8">
        <v>0.70833333333333337</v>
      </c>
      <c r="S85" s="3" t="s">
        <v>79</v>
      </c>
      <c r="T85" s="3" t="s">
        <v>80</v>
      </c>
      <c r="V85" s="3" t="s">
        <v>80</v>
      </c>
      <c r="W85" s="3" t="s">
        <v>333</v>
      </c>
      <c r="X85" s="3" t="s">
        <v>80</v>
      </c>
      <c r="Y85" s="3" t="s">
        <v>80</v>
      </c>
      <c r="Z85" s="3" t="s">
        <v>80</v>
      </c>
      <c r="AA85" s="3" t="s">
        <v>80</v>
      </c>
      <c r="AB85" s="3" t="s">
        <v>80</v>
      </c>
      <c r="AD85" s="3" t="s">
        <v>342</v>
      </c>
      <c r="AE85" s="3" t="s">
        <v>333</v>
      </c>
      <c r="AF85" s="3" t="s">
        <v>161</v>
      </c>
      <c r="AG85" s="3" t="s">
        <v>343</v>
      </c>
      <c r="AH85" s="3" t="s">
        <v>335</v>
      </c>
      <c r="AI85" s="3" t="s">
        <v>185</v>
      </c>
    </row>
    <row r="86" spans="1:35" x14ac:dyDescent="0.25">
      <c r="A86" s="29"/>
      <c r="B86" s="3" t="s">
        <v>346</v>
      </c>
      <c r="C86" s="3" t="s">
        <v>345</v>
      </c>
      <c r="D86" s="3" t="s">
        <v>87</v>
      </c>
      <c r="E86" s="3" t="str">
        <f>"700000"</f>
        <v>700000</v>
      </c>
      <c r="F86" s="3" t="str">
        <f t="shared" si="0"/>
        <v>Sesuai jabatan</v>
      </c>
      <c r="H86" s="3" t="s">
        <v>365</v>
      </c>
      <c r="I86" s="3" t="s">
        <v>363</v>
      </c>
      <c r="J86" s="3" t="s">
        <v>89</v>
      </c>
      <c r="K86" s="3">
        <v>137500</v>
      </c>
      <c r="L86" s="3" t="s">
        <v>90</v>
      </c>
      <c r="N86" s="3" t="s">
        <v>662</v>
      </c>
      <c r="O86" s="3" t="s">
        <v>318</v>
      </c>
      <c r="P86" s="7">
        <v>45757</v>
      </c>
      <c r="Q86" s="3" t="s">
        <v>80</v>
      </c>
      <c r="R86" s="3" t="s">
        <v>80</v>
      </c>
      <c r="S86" s="3" t="s">
        <v>269</v>
      </c>
      <c r="T86" s="3" t="s">
        <v>595</v>
      </c>
      <c r="V86" s="3" t="s">
        <v>80</v>
      </c>
      <c r="W86" s="3" t="s">
        <v>348</v>
      </c>
      <c r="X86" s="3" t="s">
        <v>80</v>
      </c>
      <c r="Y86" s="3" t="s">
        <v>80</v>
      </c>
      <c r="Z86" s="3" t="s">
        <v>80</v>
      </c>
      <c r="AA86" s="3" t="s">
        <v>80</v>
      </c>
      <c r="AB86" s="3" t="s">
        <v>80</v>
      </c>
      <c r="AD86" s="3" t="s">
        <v>360</v>
      </c>
      <c r="AE86" s="3" t="s">
        <v>348</v>
      </c>
      <c r="AF86" s="3" t="s">
        <v>109</v>
      </c>
      <c r="AG86" s="3" t="s">
        <v>361</v>
      </c>
      <c r="AH86" s="3" t="s">
        <v>350</v>
      </c>
      <c r="AI86" s="3" t="s">
        <v>74</v>
      </c>
    </row>
    <row r="87" spans="1:35" x14ac:dyDescent="0.25">
      <c r="A87" s="29"/>
      <c r="B87" s="3" t="s">
        <v>665</v>
      </c>
      <c r="C87" s="3" t="s">
        <v>345</v>
      </c>
      <c r="D87" s="3" t="s">
        <v>114</v>
      </c>
      <c r="E87" s="3" t="str">
        <f>"400000"</f>
        <v>400000</v>
      </c>
      <c r="F87" s="3" t="str">
        <f t="shared" si="0"/>
        <v>Biaya makan</v>
      </c>
      <c r="H87" s="3" t="s">
        <v>380</v>
      </c>
      <c r="I87" s="3" t="s">
        <v>378</v>
      </c>
      <c r="J87" s="3" t="s">
        <v>116</v>
      </c>
      <c r="K87" s="3">
        <v>110000</v>
      </c>
      <c r="L87" s="3" t="s">
        <v>117</v>
      </c>
      <c r="N87" s="3" t="s">
        <v>344</v>
      </c>
      <c r="O87" s="3" t="s">
        <v>333</v>
      </c>
      <c r="P87" s="7" t="s">
        <v>76</v>
      </c>
      <c r="Q87" s="3" t="s">
        <v>77</v>
      </c>
      <c r="R87" s="3" t="s">
        <v>78</v>
      </c>
      <c r="S87" s="3" t="s">
        <v>79</v>
      </c>
      <c r="T87" s="3" t="s">
        <v>80</v>
      </c>
      <c r="V87" s="3" t="s">
        <v>80</v>
      </c>
      <c r="W87" s="3" t="s">
        <v>366</v>
      </c>
      <c r="X87" s="3" t="s">
        <v>80</v>
      </c>
      <c r="Y87" s="3" t="s">
        <v>80</v>
      </c>
      <c r="Z87" s="3" t="s">
        <v>80</v>
      </c>
      <c r="AA87" s="3" t="s">
        <v>80</v>
      </c>
      <c r="AB87" s="3" t="s">
        <v>80</v>
      </c>
      <c r="AD87" s="3" t="s">
        <v>375</v>
      </c>
      <c r="AE87" s="3" t="s">
        <v>366</v>
      </c>
      <c r="AF87" s="3" t="s">
        <v>72</v>
      </c>
      <c r="AG87" s="3" t="s">
        <v>376</v>
      </c>
      <c r="AH87" s="3" t="s">
        <v>368</v>
      </c>
      <c r="AI87" s="3" t="s">
        <v>185</v>
      </c>
    </row>
    <row r="88" spans="1:35" x14ac:dyDescent="0.25">
      <c r="A88" s="29"/>
      <c r="B88" s="3" t="s">
        <v>364</v>
      </c>
      <c r="C88" s="3" t="s">
        <v>363</v>
      </c>
      <c r="D88" s="3" t="s">
        <v>114</v>
      </c>
      <c r="E88" s="3">
        <v>400000</v>
      </c>
      <c r="F88" s="3" t="str">
        <f t="shared" si="0"/>
        <v>Biaya makan</v>
      </c>
      <c r="H88" s="3" t="s">
        <v>396</v>
      </c>
      <c r="I88" s="3" t="s">
        <v>394</v>
      </c>
      <c r="J88" s="3" t="s">
        <v>143</v>
      </c>
      <c r="K88" s="3">
        <v>467500</v>
      </c>
      <c r="L88" s="3" t="s">
        <v>144</v>
      </c>
      <c r="N88" s="3" t="s">
        <v>362</v>
      </c>
      <c r="O88" s="3" t="s">
        <v>348</v>
      </c>
      <c r="P88" s="7" t="s">
        <v>76</v>
      </c>
      <c r="Q88" s="3" t="s">
        <v>77</v>
      </c>
      <c r="R88" s="3" t="s">
        <v>78</v>
      </c>
      <c r="S88" s="3" t="s">
        <v>79</v>
      </c>
      <c r="T88" s="3" t="s">
        <v>80</v>
      </c>
      <c r="V88" s="3" t="s">
        <v>631</v>
      </c>
      <c r="W88" s="3" t="s">
        <v>381</v>
      </c>
      <c r="X88" s="3">
        <v>45762</v>
      </c>
      <c r="Y88" s="3">
        <v>3</v>
      </c>
      <c r="Z88" s="3" t="s">
        <v>632</v>
      </c>
      <c r="AA88" s="3" t="s">
        <v>611</v>
      </c>
      <c r="AB88" s="3">
        <v>22000</v>
      </c>
      <c r="AD88" s="3" t="s">
        <v>390</v>
      </c>
      <c r="AE88" s="3" t="s">
        <v>381</v>
      </c>
      <c r="AF88" s="3" t="s">
        <v>200</v>
      </c>
      <c r="AG88" s="3" t="s">
        <v>391</v>
      </c>
      <c r="AH88" s="3" t="s">
        <v>383</v>
      </c>
      <c r="AI88" s="3" t="s">
        <v>74</v>
      </c>
    </row>
    <row r="89" spans="1:35" x14ac:dyDescent="0.25">
      <c r="A89" s="29"/>
      <c r="B89" s="3" t="s">
        <v>379</v>
      </c>
      <c r="C89" s="3" t="s">
        <v>378</v>
      </c>
      <c r="D89" s="3" t="s">
        <v>141</v>
      </c>
      <c r="E89" s="3">
        <v>300000</v>
      </c>
      <c r="F89" s="3" t="str">
        <f t="shared" si="0"/>
        <v>Biaya transport</v>
      </c>
      <c r="H89" s="3" t="s">
        <v>411</v>
      </c>
      <c r="I89" s="3" t="s">
        <v>409</v>
      </c>
      <c r="J89" s="3" t="s">
        <v>89</v>
      </c>
      <c r="K89" s="3">
        <v>500000</v>
      </c>
      <c r="L89" s="3" t="s">
        <v>90</v>
      </c>
      <c r="N89" s="3" t="s">
        <v>377</v>
      </c>
      <c r="O89" s="3" t="s">
        <v>366</v>
      </c>
      <c r="P89" s="7" t="s">
        <v>76</v>
      </c>
      <c r="Q89" s="3" t="s">
        <v>77</v>
      </c>
      <c r="R89" s="3" t="s">
        <v>78</v>
      </c>
      <c r="S89" s="3" t="s">
        <v>79</v>
      </c>
      <c r="T89" s="3" t="s">
        <v>80</v>
      </c>
      <c r="V89" s="3" t="s">
        <v>633</v>
      </c>
      <c r="W89" s="3" t="s">
        <v>397</v>
      </c>
      <c r="X89" s="3">
        <v>45763</v>
      </c>
      <c r="Y89" s="3">
        <v>4</v>
      </c>
      <c r="Z89" s="3" t="s">
        <v>634</v>
      </c>
      <c r="AA89" s="3" t="s">
        <v>611</v>
      </c>
      <c r="AB89" s="3">
        <v>27500</v>
      </c>
      <c r="AD89" s="3" t="s">
        <v>406</v>
      </c>
      <c r="AE89" s="3" t="s">
        <v>397</v>
      </c>
      <c r="AF89" s="3" t="s">
        <v>136</v>
      </c>
      <c r="AG89" s="3" t="s">
        <v>407</v>
      </c>
      <c r="AH89" s="3" t="s">
        <v>399</v>
      </c>
      <c r="AI89" s="3" t="s">
        <v>185</v>
      </c>
    </row>
    <row r="90" spans="1:35" x14ac:dyDescent="0.25">
      <c r="A90" s="29"/>
      <c r="B90" s="3" t="s">
        <v>395</v>
      </c>
      <c r="C90" s="3" t="s">
        <v>394</v>
      </c>
      <c r="D90" s="3" t="s">
        <v>87</v>
      </c>
      <c r="E90" s="3">
        <v>3500000</v>
      </c>
      <c r="F90" s="3" t="str">
        <f t="shared" si="0"/>
        <v>Sesuai jabatan</v>
      </c>
      <c r="H90" s="3" t="s">
        <v>426</v>
      </c>
      <c r="I90" s="3" t="s">
        <v>424</v>
      </c>
      <c r="J90" s="3" t="s">
        <v>116</v>
      </c>
      <c r="K90" s="3">
        <v>400000</v>
      </c>
      <c r="L90" s="3" t="s">
        <v>117</v>
      </c>
      <c r="N90" s="3" t="s">
        <v>392</v>
      </c>
      <c r="O90" s="3" t="s">
        <v>381</v>
      </c>
      <c r="P90" s="7" t="s">
        <v>76</v>
      </c>
      <c r="Q90" s="3" t="s">
        <v>80</v>
      </c>
      <c r="R90" s="3" t="s">
        <v>80</v>
      </c>
      <c r="S90" s="3" t="s">
        <v>393</v>
      </c>
      <c r="T90" s="3" t="s">
        <v>587</v>
      </c>
      <c r="V90" s="3" t="s">
        <v>635</v>
      </c>
      <c r="W90" s="3" t="s">
        <v>412</v>
      </c>
      <c r="X90" s="3">
        <v>45764</v>
      </c>
      <c r="Y90" s="3">
        <v>2</v>
      </c>
      <c r="Z90" s="3" t="s">
        <v>636</v>
      </c>
      <c r="AA90" s="3" t="s">
        <v>611</v>
      </c>
      <c r="AB90" s="3">
        <v>23000</v>
      </c>
      <c r="AD90" s="3" t="s">
        <v>421</v>
      </c>
      <c r="AE90" s="3" t="s">
        <v>412</v>
      </c>
      <c r="AF90" s="3" t="s">
        <v>161</v>
      </c>
      <c r="AG90" s="3" t="s">
        <v>422</v>
      </c>
      <c r="AH90" s="3" t="s">
        <v>414</v>
      </c>
      <c r="AI90" s="3" t="s">
        <v>185</v>
      </c>
    </row>
    <row r="91" spans="1:35" x14ac:dyDescent="0.25">
      <c r="A91" s="29"/>
      <c r="B91" s="3" t="s">
        <v>410</v>
      </c>
      <c r="C91" s="3" t="s">
        <v>409</v>
      </c>
      <c r="D91" s="3" t="s">
        <v>114</v>
      </c>
      <c r="E91" s="3">
        <v>800000</v>
      </c>
      <c r="F91" s="3" t="str">
        <f t="shared" si="0"/>
        <v>Biaya makan</v>
      </c>
      <c r="H91" s="3" t="s">
        <v>441</v>
      </c>
      <c r="I91" s="3" t="s">
        <v>439</v>
      </c>
      <c r="J91" s="3" t="s">
        <v>143</v>
      </c>
      <c r="K91" s="3">
        <v>1700000</v>
      </c>
      <c r="L91" s="3" t="s">
        <v>144</v>
      </c>
      <c r="N91" s="3" t="s">
        <v>408</v>
      </c>
      <c r="O91" s="3" t="s">
        <v>397</v>
      </c>
      <c r="P91" s="7" t="s">
        <v>76</v>
      </c>
      <c r="Q91" s="3" t="s">
        <v>77</v>
      </c>
      <c r="R91" s="3" t="s">
        <v>78</v>
      </c>
      <c r="S91" s="3" t="s">
        <v>79</v>
      </c>
      <c r="T91" s="3" t="s">
        <v>80</v>
      </c>
      <c r="V91" s="3" t="s">
        <v>80</v>
      </c>
      <c r="W91" s="3" t="s">
        <v>427</v>
      </c>
      <c r="X91" s="3" t="s">
        <v>80</v>
      </c>
      <c r="Y91" s="3" t="s">
        <v>80</v>
      </c>
      <c r="Z91" s="3" t="s">
        <v>80</v>
      </c>
      <c r="AA91" s="3" t="s">
        <v>80</v>
      </c>
      <c r="AB91" s="3" t="s">
        <v>80</v>
      </c>
      <c r="AD91" s="3" t="s">
        <v>436</v>
      </c>
      <c r="AE91" s="3" t="s">
        <v>427</v>
      </c>
      <c r="AF91" s="3" t="s">
        <v>72</v>
      </c>
      <c r="AG91" s="3" t="s">
        <v>437</v>
      </c>
      <c r="AH91" s="3" t="s">
        <v>429</v>
      </c>
      <c r="AI91" s="3" t="s">
        <v>185</v>
      </c>
    </row>
    <row r="92" spans="1:35" x14ac:dyDescent="0.25">
      <c r="A92" s="29"/>
      <c r="B92" s="3" t="s">
        <v>425</v>
      </c>
      <c r="C92" s="3" t="s">
        <v>424</v>
      </c>
      <c r="D92" s="3" t="s">
        <v>141</v>
      </c>
      <c r="E92" s="3">
        <v>700000</v>
      </c>
      <c r="F92" s="3" t="str">
        <f t="shared" si="0"/>
        <v>Biaya transport</v>
      </c>
      <c r="H92" s="3" t="s">
        <v>456</v>
      </c>
      <c r="I92" s="3" t="s">
        <v>454</v>
      </c>
      <c r="J92" s="3" t="s">
        <v>89</v>
      </c>
      <c r="K92" s="3">
        <v>145000</v>
      </c>
      <c r="L92" s="3" t="s">
        <v>90</v>
      </c>
      <c r="N92" s="3" t="s">
        <v>423</v>
      </c>
      <c r="O92" s="3" t="s">
        <v>412</v>
      </c>
      <c r="P92" s="7" t="s">
        <v>76</v>
      </c>
      <c r="Q92" s="3" t="s">
        <v>77</v>
      </c>
      <c r="R92" s="3" t="s">
        <v>78</v>
      </c>
      <c r="S92" s="3" t="s">
        <v>79</v>
      </c>
      <c r="T92" s="3" t="s">
        <v>80</v>
      </c>
      <c r="V92" s="3" t="s">
        <v>80</v>
      </c>
      <c r="W92" s="3" t="s">
        <v>442</v>
      </c>
      <c r="X92" s="7" t="s">
        <v>80</v>
      </c>
      <c r="Y92" s="3" t="s">
        <v>80</v>
      </c>
      <c r="Z92" s="3" t="s">
        <v>80</v>
      </c>
      <c r="AA92" s="3" t="s">
        <v>80</v>
      </c>
      <c r="AB92" s="3" t="s">
        <v>80</v>
      </c>
      <c r="AD92" s="3" t="s">
        <v>451</v>
      </c>
      <c r="AE92" s="3" t="s">
        <v>442</v>
      </c>
      <c r="AF92" s="3" t="s">
        <v>109</v>
      </c>
      <c r="AG92" s="3" t="s">
        <v>452</v>
      </c>
      <c r="AH92" s="3" t="s">
        <v>444</v>
      </c>
      <c r="AI92" s="3" t="s">
        <v>185</v>
      </c>
    </row>
    <row r="93" spans="1:35" x14ac:dyDescent="0.25">
      <c r="A93" s="29"/>
      <c r="B93" s="3" t="s">
        <v>440</v>
      </c>
      <c r="C93" s="3" t="s">
        <v>439</v>
      </c>
      <c r="D93" s="3" t="s">
        <v>87</v>
      </c>
      <c r="E93" s="3" t="str">
        <f>"700000"</f>
        <v>700000</v>
      </c>
      <c r="F93" s="3" t="str">
        <f t="shared" si="0"/>
        <v>Sesuai jabatan</v>
      </c>
      <c r="H93" s="3" t="s">
        <v>471</v>
      </c>
      <c r="I93" s="3" t="s">
        <v>469</v>
      </c>
      <c r="J93" s="3" t="s">
        <v>116</v>
      </c>
      <c r="K93" s="3">
        <v>116000</v>
      </c>
      <c r="L93" s="3" t="s">
        <v>117</v>
      </c>
      <c r="N93" s="3" t="s">
        <v>438</v>
      </c>
      <c r="O93" s="3" t="s">
        <v>427</v>
      </c>
      <c r="P93" s="7" t="s">
        <v>76</v>
      </c>
      <c r="Q93" s="3" t="s">
        <v>77</v>
      </c>
      <c r="R93" s="3" t="s">
        <v>78</v>
      </c>
      <c r="S93" s="3" t="s">
        <v>79</v>
      </c>
      <c r="T93" s="3" t="s">
        <v>80</v>
      </c>
      <c r="V93" s="3" t="s">
        <v>637</v>
      </c>
      <c r="W93" s="3" t="s">
        <v>457</v>
      </c>
      <c r="X93" s="7">
        <v>45765</v>
      </c>
      <c r="Y93" s="3">
        <v>3</v>
      </c>
      <c r="Z93" s="3" t="s">
        <v>638</v>
      </c>
      <c r="AA93" s="3" t="s">
        <v>611</v>
      </c>
      <c r="AB93" s="3">
        <v>28000</v>
      </c>
      <c r="AD93" s="3" t="s">
        <v>466</v>
      </c>
      <c r="AE93" s="3" t="s">
        <v>457</v>
      </c>
      <c r="AF93" s="3" t="s">
        <v>136</v>
      </c>
      <c r="AG93" s="3" t="s">
        <v>467</v>
      </c>
      <c r="AH93" s="3" t="s">
        <v>459</v>
      </c>
      <c r="AI93" s="3" t="s">
        <v>185</v>
      </c>
    </row>
    <row r="94" spans="1:35" x14ac:dyDescent="0.25">
      <c r="A94" s="29"/>
      <c r="B94" s="3" t="s">
        <v>666</v>
      </c>
      <c r="C94" s="3" t="s">
        <v>439</v>
      </c>
      <c r="D94" s="3" t="s">
        <v>114</v>
      </c>
      <c r="E94" s="3" t="str">
        <f>"400000"</f>
        <v>400000</v>
      </c>
      <c r="F94" s="3" t="str">
        <f t="shared" si="0"/>
        <v>Biaya makan</v>
      </c>
      <c r="H94" s="3" t="s">
        <v>486</v>
      </c>
      <c r="I94" s="3" t="s">
        <v>484</v>
      </c>
      <c r="J94" s="3" t="s">
        <v>143</v>
      </c>
      <c r="K94" s="3">
        <v>493000</v>
      </c>
      <c r="L94" s="3" t="s">
        <v>144</v>
      </c>
      <c r="N94" s="3" t="s">
        <v>453</v>
      </c>
      <c r="O94" s="3" t="s">
        <v>442</v>
      </c>
      <c r="P94" s="7" t="s">
        <v>76</v>
      </c>
      <c r="Q94" s="3" t="s">
        <v>77</v>
      </c>
      <c r="R94" s="3" t="s">
        <v>78</v>
      </c>
      <c r="S94" s="3" t="s">
        <v>79</v>
      </c>
      <c r="T94" s="3" t="s">
        <v>80</v>
      </c>
      <c r="V94" s="3" t="s">
        <v>80</v>
      </c>
      <c r="W94" s="3" t="s">
        <v>472</v>
      </c>
      <c r="X94" s="7" t="s">
        <v>80</v>
      </c>
      <c r="Y94" s="3" t="s">
        <v>80</v>
      </c>
      <c r="Z94" s="3" t="s">
        <v>80</v>
      </c>
      <c r="AA94" s="3" t="s">
        <v>80</v>
      </c>
      <c r="AB94" s="3" t="s">
        <v>80</v>
      </c>
      <c r="AD94" s="3" t="s">
        <v>481</v>
      </c>
      <c r="AE94" s="3" t="s">
        <v>472</v>
      </c>
      <c r="AF94" s="3" t="s">
        <v>161</v>
      </c>
      <c r="AG94" s="3" t="s">
        <v>482</v>
      </c>
      <c r="AH94" s="3" t="s">
        <v>474</v>
      </c>
      <c r="AI94" s="3" t="s">
        <v>185</v>
      </c>
    </row>
    <row r="95" spans="1:35" x14ac:dyDescent="0.25">
      <c r="A95" s="29"/>
      <c r="B95" s="3" t="s">
        <v>455</v>
      </c>
      <c r="C95" s="3" t="s">
        <v>454</v>
      </c>
      <c r="D95" s="3" t="s">
        <v>114</v>
      </c>
      <c r="E95" s="3">
        <v>500000</v>
      </c>
      <c r="F95" s="3" t="str">
        <f t="shared" si="0"/>
        <v>Biaya makan</v>
      </c>
      <c r="H95" s="3" t="s">
        <v>501</v>
      </c>
      <c r="I95" s="3" t="s">
        <v>499</v>
      </c>
      <c r="J95" s="3" t="s">
        <v>89</v>
      </c>
      <c r="K95" s="3">
        <v>137500</v>
      </c>
      <c r="L95" s="3" t="s">
        <v>90</v>
      </c>
      <c r="N95" s="3" t="s">
        <v>468</v>
      </c>
      <c r="O95" s="3" t="s">
        <v>457</v>
      </c>
      <c r="P95" s="7" t="s">
        <v>76</v>
      </c>
      <c r="Q95" s="3" t="s">
        <v>77</v>
      </c>
      <c r="R95" s="3" t="s">
        <v>78</v>
      </c>
      <c r="S95" s="3" t="s">
        <v>79</v>
      </c>
      <c r="T95" s="3" t="s">
        <v>80</v>
      </c>
      <c r="V95" s="3" t="s">
        <v>639</v>
      </c>
      <c r="W95" s="3" t="s">
        <v>487</v>
      </c>
      <c r="X95" s="3">
        <v>45766</v>
      </c>
      <c r="Y95" s="3">
        <v>2</v>
      </c>
      <c r="Z95" s="3" t="s">
        <v>640</v>
      </c>
      <c r="AA95" s="3" t="s">
        <v>611</v>
      </c>
      <c r="AB95" s="3">
        <v>29000</v>
      </c>
      <c r="AD95" s="3" t="s">
        <v>496</v>
      </c>
      <c r="AE95" s="3" t="s">
        <v>487</v>
      </c>
      <c r="AF95" s="3" t="s">
        <v>72</v>
      </c>
      <c r="AG95" s="3" t="s">
        <v>497</v>
      </c>
      <c r="AH95" s="3" t="s">
        <v>489</v>
      </c>
      <c r="AI95" s="3" t="s">
        <v>185</v>
      </c>
    </row>
    <row r="96" spans="1:35" x14ac:dyDescent="0.25">
      <c r="A96" s="29"/>
      <c r="B96" s="3" t="s">
        <v>470</v>
      </c>
      <c r="C96" s="3" t="s">
        <v>469</v>
      </c>
      <c r="D96" s="3" t="s">
        <v>141</v>
      </c>
      <c r="E96" s="3">
        <v>300000</v>
      </c>
      <c r="F96" s="3" t="str">
        <f t="shared" si="0"/>
        <v>Biaya transport</v>
      </c>
      <c r="H96" s="3" t="s">
        <v>516</v>
      </c>
      <c r="I96" s="3" t="s">
        <v>514</v>
      </c>
      <c r="J96" s="3" t="s">
        <v>116</v>
      </c>
      <c r="K96" s="3">
        <v>110000</v>
      </c>
      <c r="L96" s="3" t="s">
        <v>117</v>
      </c>
      <c r="N96" s="3" t="s">
        <v>483</v>
      </c>
      <c r="O96" s="3" t="s">
        <v>472</v>
      </c>
      <c r="P96" s="7" t="s">
        <v>76</v>
      </c>
      <c r="Q96" s="3" t="s">
        <v>77</v>
      </c>
      <c r="R96" s="3" t="s">
        <v>78</v>
      </c>
      <c r="S96" s="3" t="s">
        <v>79</v>
      </c>
      <c r="T96" s="3" t="s">
        <v>80</v>
      </c>
      <c r="V96" s="3" t="s">
        <v>80</v>
      </c>
      <c r="W96" s="3" t="s">
        <v>502</v>
      </c>
      <c r="X96" s="3" t="s">
        <v>80</v>
      </c>
      <c r="Y96" s="3" t="s">
        <v>80</v>
      </c>
      <c r="Z96" s="3" t="s">
        <v>80</v>
      </c>
      <c r="AA96" s="3" t="s">
        <v>80</v>
      </c>
      <c r="AB96" s="3" t="s">
        <v>80</v>
      </c>
      <c r="AD96" s="3" t="s">
        <v>511</v>
      </c>
      <c r="AE96" s="3" t="s">
        <v>502</v>
      </c>
      <c r="AF96" s="3" t="s">
        <v>109</v>
      </c>
      <c r="AG96" s="3" t="s">
        <v>512</v>
      </c>
      <c r="AH96" s="3" t="s">
        <v>504</v>
      </c>
      <c r="AI96" s="3" t="s">
        <v>185</v>
      </c>
    </row>
    <row r="97" spans="1:35" x14ac:dyDescent="0.25">
      <c r="A97" s="29"/>
      <c r="B97" s="3" t="s">
        <v>485</v>
      </c>
      <c r="C97" s="3" t="s">
        <v>484</v>
      </c>
      <c r="D97" s="3" t="s">
        <v>87</v>
      </c>
      <c r="E97" s="3">
        <v>700000</v>
      </c>
      <c r="F97" s="3" t="str">
        <f t="shared" si="0"/>
        <v>Sesuai jabatan</v>
      </c>
      <c r="H97" s="3" t="s">
        <v>531</v>
      </c>
      <c r="I97" s="3" t="s">
        <v>529</v>
      </c>
      <c r="J97" s="3" t="s">
        <v>143</v>
      </c>
      <c r="K97" s="3">
        <v>467500</v>
      </c>
      <c r="L97" s="3" t="s">
        <v>144</v>
      </c>
      <c r="N97" s="3" t="s">
        <v>498</v>
      </c>
      <c r="O97" s="3" t="s">
        <v>487</v>
      </c>
      <c r="P97" s="7" t="s">
        <v>76</v>
      </c>
      <c r="Q97" s="3" t="s">
        <v>77</v>
      </c>
      <c r="R97" s="3" t="s">
        <v>78</v>
      </c>
      <c r="S97" s="3" t="s">
        <v>79</v>
      </c>
      <c r="T97" s="3" t="s">
        <v>80</v>
      </c>
      <c r="V97" s="3" t="s">
        <v>80</v>
      </c>
      <c r="W97" s="3" t="s">
        <v>517</v>
      </c>
      <c r="X97" s="3" t="s">
        <v>80</v>
      </c>
      <c r="Y97" s="3" t="s">
        <v>80</v>
      </c>
      <c r="Z97" s="3" t="s">
        <v>80</v>
      </c>
      <c r="AA97" s="3" t="s">
        <v>80</v>
      </c>
      <c r="AB97" s="3" t="s">
        <v>80</v>
      </c>
      <c r="AD97" s="3" t="s">
        <v>526</v>
      </c>
      <c r="AE97" s="3" t="s">
        <v>517</v>
      </c>
      <c r="AF97" s="3" t="s">
        <v>200</v>
      </c>
      <c r="AG97" s="3" t="s">
        <v>527</v>
      </c>
      <c r="AH97" s="3" t="s">
        <v>519</v>
      </c>
      <c r="AI97" s="3" t="s">
        <v>185</v>
      </c>
    </row>
    <row r="98" spans="1:35" x14ac:dyDescent="0.25">
      <c r="A98" s="29"/>
      <c r="B98" s="3" t="s">
        <v>500</v>
      </c>
      <c r="C98" s="3" t="s">
        <v>499</v>
      </c>
      <c r="D98" s="3" t="s">
        <v>114</v>
      </c>
      <c r="E98" s="3">
        <v>500000</v>
      </c>
      <c r="F98" s="3" t="str">
        <f t="shared" si="0"/>
        <v>Biaya makan</v>
      </c>
      <c r="H98" s="3" t="s">
        <v>546</v>
      </c>
      <c r="I98" s="3" t="s">
        <v>544</v>
      </c>
      <c r="J98" s="3" t="s">
        <v>89</v>
      </c>
      <c r="K98" s="3">
        <v>237500</v>
      </c>
      <c r="L98" s="3" t="s">
        <v>90</v>
      </c>
      <c r="N98" s="3" t="s">
        <v>513</v>
      </c>
      <c r="O98" s="3" t="s">
        <v>502</v>
      </c>
      <c r="P98" s="7" t="s">
        <v>76</v>
      </c>
      <c r="Q98" s="3" t="s">
        <v>77</v>
      </c>
      <c r="R98" s="3" t="s">
        <v>78</v>
      </c>
      <c r="S98" s="3" t="s">
        <v>79</v>
      </c>
      <c r="T98" s="3" t="s">
        <v>80</v>
      </c>
      <c r="V98" s="3" t="s">
        <v>80</v>
      </c>
      <c r="W98" s="3" t="s">
        <v>532</v>
      </c>
      <c r="X98" s="7" t="s">
        <v>80</v>
      </c>
      <c r="Y98" s="3" t="s">
        <v>80</v>
      </c>
      <c r="Z98" s="3" t="s">
        <v>80</v>
      </c>
      <c r="AA98" s="3" t="s">
        <v>80</v>
      </c>
      <c r="AB98" s="3" t="s">
        <v>80</v>
      </c>
      <c r="AD98" s="3" t="s">
        <v>541</v>
      </c>
      <c r="AE98" s="3" t="s">
        <v>532</v>
      </c>
      <c r="AF98" s="3" t="s">
        <v>136</v>
      </c>
      <c r="AG98" s="3" t="s">
        <v>542</v>
      </c>
      <c r="AH98" s="3" t="s">
        <v>534</v>
      </c>
      <c r="AI98" s="3" t="s">
        <v>185</v>
      </c>
    </row>
    <row r="99" spans="1:35" x14ac:dyDescent="0.25">
      <c r="A99" s="29"/>
      <c r="B99" s="3" t="s">
        <v>515</v>
      </c>
      <c r="C99" s="3" t="s">
        <v>514</v>
      </c>
      <c r="D99" s="3" t="s">
        <v>141</v>
      </c>
      <c r="E99" s="3">
        <v>200000</v>
      </c>
      <c r="F99" s="3" t="str">
        <f t="shared" si="0"/>
        <v>Biaya transport</v>
      </c>
      <c r="H99" s="3" t="s">
        <v>562</v>
      </c>
      <c r="I99" s="3" t="s">
        <v>560</v>
      </c>
      <c r="J99" s="3" t="s">
        <v>116</v>
      </c>
      <c r="K99" s="3">
        <v>190000</v>
      </c>
      <c r="L99" s="3" t="s">
        <v>117</v>
      </c>
      <c r="N99" s="3" t="s">
        <v>528</v>
      </c>
      <c r="O99" s="3" t="s">
        <v>517</v>
      </c>
      <c r="P99" s="7" t="s">
        <v>76</v>
      </c>
      <c r="Q99" s="3" t="s">
        <v>77</v>
      </c>
      <c r="R99" s="3" t="s">
        <v>78</v>
      </c>
      <c r="S99" s="3" t="s">
        <v>79</v>
      </c>
      <c r="T99" s="3" t="s">
        <v>80</v>
      </c>
      <c r="V99" s="28" t="s">
        <v>80</v>
      </c>
      <c r="W99" s="28" t="s">
        <v>547</v>
      </c>
      <c r="X99" s="28" t="s">
        <v>80</v>
      </c>
      <c r="Y99" s="28" t="s">
        <v>80</v>
      </c>
      <c r="Z99" s="28" t="s">
        <v>80</v>
      </c>
      <c r="AA99" s="28" t="s">
        <v>80</v>
      </c>
      <c r="AB99" s="28" t="s">
        <v>80</v>
      </c>
      <c r="AD99" s="3" t="s">
        <v>556</v>
      </c>
      <c r="AE99" s="3" t="s">
        <v>547</v>
      </c>
      <c r="AF99" s="3" t="s">
        <v>161</v>
      </c>
      <c r="AG99" s="3" t="s">
        <v>557</v>
      </c>
      <c r="AH99" s="3" t="s">
        <v>549</v>
      </c>
      <c r="AI99" s="3" t="s">
        <v>185</v>
      </c>
    </row>
    <row r="100" spans="1:35" x14ac:dyDescent="0.25">
      <c r="A100" s="29"/>
      <c r="B100" s="3" t="s">
        <v>530</v>
      </c>
      <c r="C100" s="3" t="s">
        <v>529</v>
      </c>
      <c r="D100" s="3" t="s">
        <v>87</v>
      </c>
      <c r="E100" s="3" t="str">
        <f>"1400000"</f>
        <v>1400000</v>
      </c>
      <c r="F100" s="3" t="str">
        <f t="shared" si="0"/>
        <v>Sesuai jabatan</v>
      </c>
      <c r="H100" s="3" t="s">
        <v>577</v>
      </c>
      <c r="I100" s="3" t="s">
        <v>575</v>
      </c>
      <c r="J100" s="3" t="s">
        <v>143</v>
      </c>
      <c r="K100" s="3">
        <v>807500</v>
      </c>
      <c r="L100" s="3" t="s">
        <v>144</v>
      </c>
      <c r="N100" s="3" t="s">
        <v>543</v>
      </c>
      <c r="O100" s="3" t="s">
        <v>532</v>
      </c>
      <c r="P100" s="7" t="s">
        <v>76</v>
      </c>
      <c r="Q100" s="3" t="s">
        <v>77</v>
      </c>
      <c r="R100" s="3" t="s">
        <v>78</v>
      </c>
      <c r="S100" s="3" t="s">
        <v>79</v>
      </c>
      <c r="T100" s="3" t="s">
        <v>80</v>
      </c>
      <c r="V100" s="3" t="s">
        <v>80</v>
      </c>
      <c r="W100" s="3" t="s">
        <v>563</v>
      </c>
      <c r="X100" s="7" t="s">
        <v>80</v>
      </c>
      <c r="Y100" s="3" t="s">
        <v>80</v>
      </c>
      <c r="Z100" s="3" t="s">
        <v>80</v>
      </c>
      <c r="AA100" s="3" t="s">
        <v>80</v>
      </c>
      <c r="AB100" s="3" t="s">
        <v>80</v>
      </c>
      <c r="AD100" s="28" t="s">
        <v>572</v>
      </c>
      <c r="AE100" s="28" t="s">
        <v>563</v>
      </c>
      <c r="AF100" s="28" t="s">
        <v>72</v>
      </c>
      <c r="AG100" s="28" t="s">
        <v>573</v>
      </c>
      <c r="AH100" s="28" t="s">
        <v>565</v>
      </c>
      <c r="AI100" s="28" t="s">
        <v>185</v>
      </c>
    </row>
    <row r="101" spans="1:35" x14ac:dyDescent="0.25">
      <c r="A101" s="29"/>
      <c r="B101" s="3" t="s">
        <v>669</v>
      </c>
      <c r="C101" s="3" t="s">
        <v>529</v>
      </c>
      <c r="D101" s="3" t="s">
        <v>114</v>
      </c>
      <c r="E101" s="3" t="str">
        <f>"400000"</f>
        <v>400000</v>
      </c>
      <c r="F101" s="3" t="str">
        <f t="shared" si="0"/>
        <v>Biaya makan</v>
      </c>
      <c r="H101" s="29"/>
      <c r="I101" s="32"/>
      <c r="J101" s="29"/>
      <c r="K101" s="29"/>
      <c r="L101" s="29"/>
      <c r="N101" s="3" t="s">
        <v>558</v>
      </c>
      <c r="O101" s="3" t="s">
        <v>547</v>
      </c>
      <c r="P101" s="7" t="s">
        <v>76</v>
      </c>
      <c r="Q101" s="3" t="s">
        <v>80</v>
      </c>
      <c r="R101" s="3" t="s">
        <v>80</v>
      </c>
      <c r="S101" s="3" t="s">
        <v>269</v>
      </c>
      <c r="T101" s="3" t="s">
        <v>559</v>
      </c>
      <c r="V101" s="29"/>
      <c r="W101" s="32"/>
      <c r="X101" s="29"/>
      <c r="Y101" s="29"/>
      <c r="Z101" s="29"/>
      <c r="AA101" s="29"/>
      <c r="AB101" s="29"/>
      <c r="AD101" s="33"/>
      <c r="AE101" s="34"/>
      <c r="AF101" s="33"/>
      <c r="AG101" s="33"/>
      <c r="AH101" s="33"/>
      <c r="AI101" s="33"/>
    </row>
    <row r="102" spans="1:35" x14ac:dyDescent="0.25">
      <c r="A102" s="29"/>
      <c r="B102" s="3" t="s">
        <v>545</v>
      </c>
      <c r="C102" s="3" t="s">
        <v>544</v>
      </c>
      <c r="D102" s="3" t="s">
        <v>114</v>
      </c>
      <c r="E102" s="3">
        <v>600000</v>
      </c>
      <c r="F102" s="3" t="str">
        <f t="shared" si="0"/>
        <v>Biaya makan</v>
      </c>
      <c r="H102" s="29"/>
      <c r="I102" s="32"/>
      <c r="J102" s="29"/>
      <c r="K102" s="29"/>
      <c r="L102" s="29"/>
      <c r="N102" s="3" t="s">
        <v>574</v>
      </c>
      <c r="O102" s="3" t="s">
        <v>563</v>
      </c>
      <c r="P102" s="7">
        <v>45754</v>
      </c>
      <c r="Q102" s="8">
        <v>0.33333333333333331</v>
      </c>
      <c r="R102" s="8">
        <v>0.70833333333333337</v>
      </c>
      <c r="S102" s="3" t="s">
        <v>79</v>
      </c>
      <c r="T102" s="3" t="s">
        <v>80</v>
      </c>
      <c r="V102" s="29"/>
      <c r="W102" s="32"/>
      <c r="X102" s="29"/>
      <c r="Y102" s="29"/>
      <c r="Z102" s="29"/>
      <c r="AA102" s="29"/>
      <c r="AB102" s="29"/>
      <c r="AD102" s="29"/>
      <c r="AE102" s="32"/>
      <c r="AF102" s="29"/>
      <c r="AG102" s="29"/>
      <c r="AH102" s="29"/>
      <c r="AI102" s="29"/>
    </row>
    <row r="103" spans="1:35" x14ac:dyDescent="0.25">
      <c r="A103" s="29"/>
      <c r="B103" s="3" t="s">
        <v>561</v>
      </c>
      <c r="C103" s="3" t="s">
        <v>560</v>
      </c>
      <c r="D103" s="3" t="s">
        <v>141</v>
      </c>
      <c r="E103" s="3">
        <v>400000</v>
      </c>
      <c r="F103" s="3" t="str">
        <f t="shared" si="0"/>
        <v>Biaya transport</v>
      </c>
      <c r="H103" s="29"/>
      <c r="I103" s="32"/>
      <c r="J103" s="29"/>
      <c r="K103" s="29"/>
      <c r="L103" s="29"/>
      <c r="N103" s="3" t="s">
        <v>663</v>
      </c>
      <c r="O103" s="3" t="s">
        <v>563</v>
      </c>
      <c r="P103" s="7">
        <v>45759</v>
      </c>
      <c r="Q103" s="3" t="s">
        <v>80</v>
      </c>
      <c r="R103" s="3" t="s">
        <v>80</v>
      </c>
      <c r="S103" s="3" t="s">
        <v>596</v>
      </c>
      <c r="T103" s="3" t="s">
        <v>597</v>
      </c>
      <c r="V103" s="29"/>
      <c r="W103" s="32"/>
      <c r="X103" s="29"/>
      <c r="Y103" s="29"/>
      <c r="Z103" s="29"/>
      <c r="AA103" s="29"/>
      <c r="AB103" s="29"/>
      <c r="AD103" s="29"/>
      <c r="AE103" s="32"/>
      <c r="AF103" s="29"/>
      <c r="AG103" s="29"/>
      <c r="AH103" s="29"/>
      <c r="AI103" s="29"/>
    </row>
    <row r="104" spans="1:35" x14ac:dyDescent="0.25">
      <c r="A104" s="29"/>
      <c r="B104" s="3" t="s">
        <v>576</v>
      </c>
      <c r="C104" s="3" t="s">
        <v>575</v>
      </c>
      <c r="D104" s="3" t="s">
        <v>87</v>
      </c>
      <c r="E104" s="3">
        <v>1300000</v>
      </c>
      <c r="F104" s="3" t="str">
        <f t="shared" si="0"/>
        <v>Sesuai jabatan</v>
      </c>
      <c r="H104" s="29"/>
      <c r="I104" s="32"/>
      <c r="J104" s="29"/>
      <c r="K104" s="29"/>
      <c r="L104" s="29"/>
      <c r="N104" s="29"/>
      <c r="O104" s="29"/>
      <c r="P104" s="30"/>
      <c r="Q104" s="29"/>
      <c r="R104" s="29"/>
      <c r="S104" s="29"/>
      <c r="T104" s="29"/>
      <c r="V104" s="29"/>
      <c r="W104" s="32"/>
      <c r="X104" s="29"/>
      <c r="Y104" s="29"/>
      <c r="Z104" s="29"/>
      <c r="AA104" s="29"/>
      <c r="AB104" s="29"/>
      <c r="AD104" s="29"/>
      <c r="AE104" s="32"/>
      <c r="AF104" s="29"/>
      <c r="AG104" s="29"/>
      <c r="AH104" s="29"/>
      <c r="AI104" s="29"/>
    </row>
    <row r="105" spans="1:35" x14ac:dyDescent="0.25">
      <c r="A105" s="29"/>
      <c r="B105" s="29"/>
      <c r="C105" s="29"/>
      <c r="D105" s="29"/>
      <c r="E105" s="29"/>
      <c r="F105" s="29"/>
      <c r="H105" s="29"/>
      <c r="I105" s="32"/>
      <c r="J105" s="29"/>
      <c r="K105" s="29"/>
      <c r="L105" s="29"/>
      <c r="N105" s="29"/>
      <c r="O105" s="29"/>
      <c r="P105" s="30"/>
      <c r="Q105" s="29"/>
      <c r="R105" s="29"/>
      <c r="S105" s="29"/>
      <c r="T105" s="29"/>
      <c r="V105" s="29"/>
      <c r="W105" s="32"/>
      <c r="X105" s="29"/>
      <c r="Y105" s="29"/>
      <c r="Z105" s="29"/>
      <c r="AA105" s="29"/>
      <c r="AB105" s="29"/>
      <c r="AD105" s="29"/>
      <c r="AE105" s="32"/>
      <c r="AF105" s="29"/>
      <c r="AG105" s="29"/>
      <c r="AH105" s="29"/>
      <c r="AI105" s="29"/>
    </row>
    <row r="106" spans="1:35" x14ac:dyDescent="0.25">
      <c r="A106" s="29"/>
      <c r="B106" s="29"/>
      <c r="C106" s="29"/>
      <c r="D106" s="29"/>
      <c r="E106" s="29"/>
      <c r="F106" s="29"/>
      <c r="H106" s="29"/>
      <c r="I106" s="32"/>
      <c r="J106" s="29"/>
      <c r="K106" s="29"/>
      <c r="L106" s="29"/>
      <c r="N106" s="29"/>
      <c r="O106" s="29"/>
      <c r="P106" s="30"/>
      <c r="Q106" s="31"/>
      <c r="R106" s="31"/>
      <c r="S106" s="29"/>
      <c r="T106" s="29"/>
      <c r="V106" s="29"/>
      <c r="W106" s="32"/>
      <c r="X106" s="29"/>
      <c r="Y106" s="29"/>
      <c r="Z106" s="29"/>
      <c r="AA106" s="29"/>
      <c r="AB106" s="29"/>
      <c r="AD106" s="29"/>
      <c r="AE106" s="32"/>
      <c r="AF106" s="29"/>
      <c r="AG106" s="29"/>
      <c r="AH106" s="29"/>
      <c r="AI106" s="29"/>
    </row>
    <row r="107" spans="1:35" x14ac:dyDescent="0.25">
      <c r="A107" s="29"/>
      <c r="B107" s="29"/>
      <c r="C107" s="29"/>
      <c r="D107" s="29"/>
      <c r="E107" s="29"/>
      <c r="F107" s="29"/>
      <c r="H107" s="29"/>
      <c r="I107" s="32"/>
      <c r="J107" s="29"/>
      <c r="K107" s="29"/>
      <c r="L107" s="29"/>
      <c r="N107" s="29"/>
      <c r="O107" s="29"/>
      <c r="P107" s="30"/>
      <c r="Q107" s="29"/>
      <c r="R107" s="29"/>
      <c r="S107" s="29"/>
      <c r="T107" s="29"/>
      <c r="V107" s="29"/>
      <c r="W107" s="32"/>
      <c r="X107" s="29"/>
      <c r="Y107" s="29"/>
      <c r="Z107" s="29"/>
      <c r="AA107" s="29"/>
      <c r="AB107" s="29"/>
      <c r="AD107" s="29"/>
      <c r="AE107" s="32"/>
      <c r="AF107" s="29"/>
      <c r="AG107" s="29"/>
      <c r="AH107" s="29"/>
      <c r="AI107" s="29"/>
    </row>
  </sheetData>
  <mergeCells count="10">
    <mergeCell ref="AD69:AI69"/>
    <mergeCell ref="A1:K1"/>
    <mergeCell ref="B35:E35"/>
    <mergeCell ref="G35:K35"/>
    <mergeCell ref="N35:T35"/>
    <mergeCell ref="V35:AE35"/>
    <mergeCell ref="B69:F69"/>
    <mergeCell ref="H69:L69"/>
    <mergeCell ref="N69:T69"/>
    <mergeCell ref="V69:AB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UNF</vt:lpstr>
      <vt:lpstr>1NF</vt:lpstr>
      <vt:lpstr>2NF</vt:lpstr>
      <vt:lpstr> 3NF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2026-06-06T15:05:38Z</dcterms:created>
  <dcterms:modified xsi:type="dcterms:W3CDTF">2026-06-16T06:49:20Z</dcterms:modified>
</cp:coreProperties>
</file>